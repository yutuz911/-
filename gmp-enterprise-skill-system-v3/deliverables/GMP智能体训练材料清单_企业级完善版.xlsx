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6366c150b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7ab12d82564ef8"/>
    <x:sheet xmlns:r="http://schemas.openxmlformats.org/officeDocument/2006/relationships" name="Materials" sheetId="2" r:id="R9b62b3ea19df4419"/>
    <x:sheet xmlns:r="http://schemas.openxmlformats.org/officeDocument/2006/relationships" name="SourceMap" sheetId="3" r:id="R496425d488a54c6c"/>
    <x:sheet xmlns:r="http://schemas.openxmlformats.org/officeDocument/2006/relationships" name="BoundaryAudit" sheetId="4" r:id="R7d235f6a6f614172"/>
    <x:sheet xmlns:r="http://schemas.openxmlformats.org/officeDocument/2006/relationships" name="EnterpriseIntake" sheetId="5" r:id="R4e2592ec22414374"/>
    <x:sheet xmlns:r="http://schemas.openxmlformats.org/officeDocument/2006/relationships" name="Metrics" sheetId="6" r:id="Ra38afd44d2c24340"/>
    <x:sheet xmlns:r="http://schemas.openxmlformats.org/officeDocument/2006/relationships" name="JSONContract" sheetId="7" r:id="Rb3ab0ced3675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11827"/>
      <x:name val="Carlito"/>
    </x:font>
    <x:font>
      <x:b/>
      <x:sz val="11"/>
      <x:color rgb="FF102A2D"/>
      <x:name val="Carlito"/>
    </x:font>
    <x:font>
      <x:b/>
      <x:sz val="22"/>
      <x:color rgb="FF0F766E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A2D"/>
      </x:patternFill>
    </x:fill>
    <x:fill>
      <x:patternFill patternType="solid">
        <x:fgColor rgb="FFE8F3F0"/>
      </x:patternFill>
    </x:fill>
    <x:fill>
      <x:patternFill patternType="solid">
        <x:fgColor rgb="FFFFFFFF"/>
      </x:patternFill>
    </x:fill>
    <x:fill>
      <x:patternFill patternType="solid">
        <x:fgColor rgb="FFF6F7F9"/>
      </x:patternFill>
    </x:fill>
  </x:fills>
  <x:borders count="9">
    <x:border/>
    <x:border>
      <x:left style="thin">
        <x:color rgb="FFD8E0E6"/>
      </x:left>
      <x:top style="thin">
        <x:color rgb="FFD8E0E6"/>
      </x:top>
    </x:border>
    <x:border>
      <x:top style="thin">
        <x:color rgb="FFD8E0E6"/>
      </x:top>
    </x:border>
    <x:border>
      <x:right style="thin">
        <x:color rgb="FFD8E0E6"/>
      </x:right>
      <x:top style="thin">
        <x:color rgb="FFD8E0E6"/>
      </x:top>
    </x:border>
    <x:border>
      <x:left style="thin">
        <x:color rgb="FFD8E0E6"/>
      </x:left>
    </x:border>
    <x:border>
      <x:right style="thin">
        <x:color rgb="FFD8E0E6"/>
      </x:right>
    </x:border>
    <x:border>
      <x:left style="thin">
        <x:color rgb="FFD8E0E6"/>
      </x:left>
      <x:bottom style="thin">
        <x:color rgb="FFD8E0E6"/>
      </x:bottom>
    </x:border>
    <x:border>
      <x:bottom style="thin">
        <x:color rgb="FFD8E0E6"/>
      </x:bottom>
    </x:border>
    <x:border>
      <x:right style="thin">
        <x:color rgb="FFD8E0E6"/>
      </x:right>
      <x:bottom style="thin">
        <x:color rgb="FFD8E0E6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0" fillId="2" borderId="4" xfId="0" applyNumberFormat="1" applyFont="1" applyFill="1" applyBorder="1"/>
    <x:xf numFmtId="0" fontId="0" fillId="2" borderId="6" xfId="0" applyNumberFormat="1" applyFont="1" applyFill="1" applyBorder="1"/>
    <x:xf numFmtId="0" fontId="5" fillId="2" borderId="4" xfId="0" applyNumberFormat="1" applyFont="1" applyFill="1" applyBorder="1"/>
    <x:xf numFmtId="0" fontId="5" fillId="2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5309"/>
      </x:font>
      <x:fill>
        <x:patternFill patternType="solid">
          <x:bgColor rgb="FFFFF7ED"/>
        </x:patternFill>
      </x:fill>
    </x:dxf>
    <x:dxf>
      <x:font>
        <x:b/>
        <x:color rgb="FFB45309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50e41938545e2" /><Relationship Type="http://schemas.openxmlformats.org/officeDocument/2006/relationships/theme" Target="/xl/theme/theme1.xml" Id="Ra78b9cfb1dc340c6" /><Relationship Type="http://schemas.openxmlformats.org/officeDocument/2006/relationships/sharedStrings" Target="/xl/sharedStrings.xml" Id="R8f04434175b54c0e" /><Relationship Type="http://schemas.openxmlformats.org/officeDocument/2006/relationships/worksheet" Target="/xl/worksheets/sheet1.xml" Id="R027ab12d82564ef8" /><Relationship Type="http://schemas.openxmlformats.org/officeDocument/2006/relationships/worksheet" Target="/xl/worksheets/sheet2.xml" Id="R9b62b3ea19df4419" /><Relationship Type="http://schemas.openxmlformats.org/officeDocument/2006/relationships/worksheet" Target="/xl/worksheets/sheet3.xml" Id="R496425d488a54c6c" /><Relationship Type="http://schemas.openxmlformats.org/officeDocument/2006/relationships/worksheet" Target="/xl/worksheets/sheet4.xml" Id="R7d235f6a6f614172" /><Relationship Type="http://schemas.openxmlformats.org/officeDocument/2006/relationships/worksheet" Target="/xl/worksheets/sheet5.xml" Id="R4e2592ec22414374" /><Relationship Type="http://schemas.openxmlformats.org/officeDocument/2006/relationships/worksheet" Target="/xl/worksheets/sheet6.xml" Id="Ra38afd44d2c24340" /><Relationship Type="http://schemas.openxmlformats.org/officeDocument/2006/relationships/worksheet" Target="/xl/worksheets/sheet7.xml" Id="Rb3ab0ced36754a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d0c9a8103d45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训练材料分类覆盖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'Dashboard'!$A$14:$A$21</c:f>
              <c:strCache>
                <c:ptCount val="0"/>
              </c:strCache>
            </c:strRef>
          </c:cat>
          <c:val>
            <c:numRef>
              <c:f>'Dashboard'!$B$14:$B$21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d0c9a8103d45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iningMaterialsTable" displayName="TrainingMaterialsTable" ref="A4:P26" headerRowCount="1" totalsRowCount="0" totalsRowShown="0">
  <x:autoFilter ref="A4:P26"/>
  <x:tableColumns count="16">
    <x:tableColumn id="1" name="material_id"/>
    <x:tableColumn id="2" name="材料类别"/>
    <x:tableColumn id="3" name="材料名称"/>
    <x:tableColumn id="4" name="具体内容示例"/>
    <x:tableColumn id="5" name="来源/责任部门"/>
    <x:tableColumn id="6" name="来源URL/企业位置"/>
    <x:tableColumn id="7" name="适用区域/厂区"/>
    <x:tableColumn id="8" name="版本/更新日期"/>
    <x:tableColumn id="9" name="优先级"/>
    <x:tableColumn id="10" name="更新频率"/>
    <x:tableColumn id="11" name="适配Skill模块"/>
    <x:tableColumn id="12" name="提取目标"/>
    <x:tableColumn id="13" name="标注要求"/>
    <x:tableColumn id="14" name="质量校验项"/>
    <x:tableColumn id="15" name="保密等级"/>
    <x:tableColumn id="16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mpSourceTable" displayName="GmpSourceTable" ref="A4:H19" headerRowCount="1" totalsRowCount="0" totalsRowShown="0">
  <x:autoFilter ref="A4:H19"/>
  <x:tableColumns count="8">
    <x:tableColumn id="1" name="source_id"/>
    <x:tableColumn id="2" name="分类"/>
    <x:tableColumn id="3" name="机构/来源"/>
    <x:tableColumn id="4" name="URL"/>
    <x:tableColumn id="5" name="主要用途"/>
    <x:tableColumn id="6" name="适配模块"/>
    <x:tableColumn id="7" name="建议更新频率"/>
    <x:tableColumn id="8" name="优先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undaryAuditTable" displayName="BoundaryAuditTable" ref="A4:F9" headerRowCount="1" totalsRowCount="0" totalsRowShown="0">
  <x:autoFilter ref="A4:F9"/>
  <x:tableColumns count="6">
    <x:tableColumn id="1" name="能力域"/>
    <x:tableColumn id="2" name="可稳定输出"/>
    <x:tableColumn id="3" name="依赖资料"/>
    <x:tableColumn id="4" name="边界/不能替代"/>
    <x:tableColumn id="5" name="风险控制"/>
    <x:tableColumn id="6" name="验收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erpriseIntakeTemplate" displayName="EnterpriseIntakeTemplate" ref="A4:K9" headerRowCount="1" totalsRowCount="0" totalsRowShown="0">
  <x:autoFilter ref="A4:K9"/>
  <x:tableColumns count="11">
    <x:tableColumn id="1" name="资料编号"/>
    <x:tableColumn id="2" name="资料类别"/>
    <x:tableColumn id="3" name="资料名称"/>
    <x:tableColumn id="4" name="版本/日期"/>
    <x:tableColumn id="5" name="责任部门"/>
    <x:tableColumn id="6" name="保密等级"/>
    <x:tableColumn id="7" name="适用产品/厂区"/>
    <x:tableColumn id="8" name="可提取规则"/>
    <x:tableColumn id="9" name="复核人"/>
    <x:tableColumn id="10" name="更新频率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ionMetricsTable" displayName="EvaluationMetricsTable" ref="A4:F10" headerRowCount="1" totalsRowCount="0" totalsRowShown="0">
  <x:autoFilter ref="A4:F10"/>
  <x:tableColumns count="6">
    <x:tableColumn id="1" name="指标"/>
    <x:tableColumn id="2" name="定义"/>
    <x:tableColumn id="3" name="目标/合格标准"/>
    <x:tableColumn id="4" name="数据来源"/>
    <x:tableColumn id="5" name="复核频率"/>
    <x:tableColumn id="6" name="责任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utputContractTable" displayName="OutputContractTable" ref="A4:G7" headerRowCount="1" totalsRowCount="0" totalsRowShown="0">
  <x:autoFilter ref="A4:G7"/>
  <x:tableColumns count="7">
    <x:tableColumn id="1" name="输出场景"/>
    <x:tableColumn id="2" name="Schema文件"/>
    <x:tableColumn id="3" name="必含结构"/>
    <x:tableColumn id="4" name="来源约束"/>
    <x:tableColumn id="5" name="未知信息处理"/>
    <x:tableColumn id="6" name="展示层"/>
    <x:tableColumn id="7" name="人工复核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c57aeace4a49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7dfbe360914a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1a2b39f9d243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d0c901b6304b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954b8792bc44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b4cc871a2843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78c1a0c245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</x:cols>
  <x:sheetData>
    <x:row r="1" ht="21.600000381469727" hidden="0" customHeight="1">
      <x:c r="A1" s="2" t="str">
        <x:v>GMP智能体训练材料清单 - 企业级完善版</x:v>
      </x:c>
      <x:c r="B1" s="2" t="str">
        <x:v>GMP智能体训练材料清单 - 企业级完善版</x:v>
      </x:c>
      <x:c r="C1" s="2" t="str">
        <x:v>GMP智能体训练材料清单 - 企业级完善版</x:v>
      </x:c>
      <x:c r="D1" s="2" t="str">
        <x:v>GMP智能体训练材料清单 - 企业级完善版</x:v>
      </x:c>
      <x:c r="E1" s="2" t="str">
        <x:v>GMP智能体训练材料清单 - 企业级完善版</x:v>
      </x:c>
      <x:c r="F1" s="2" t="str">
        <x:v>GMP智能体训练材料清单 - 企业级完善版</x:v>
      </x:c>
      <x:c r="G1" s="2" t="str">
        <x:v>GMP智能体训练材料清单 - 企业级完善版</x:v>
      </x:c>
      <x:c r="H1" s="2" t="str">
        <x:v>GMP智能体训练材料清单 - 企业级完善版</x:v>
      </x:c>
      <x:c r="I1" s="2" t="str">
        <x:v>GMP智能体训练材料清单 - 企业级完善版</x:v>
      </x:c>
      <x:c r="J1" s="2" t="str">
        <x:v>GMP智能体训练材料清单 - 企业级完善版</x:v>
      </x:c>
      <x:c r="K1" s="2" t="str">
        <x:v>GMP智能体训练材料清单 - 企业级完善版</x:v>
      </x:c>
    </x:row>
    <x:row r="2" ht="15" hidden="0" customHeight="1">
      <x:c r="A2" s="5" t="str">
        <x:v>由GMP资讯采集源与训练材料清单整理而来，目标是让偏差调查/CAPA助手具备稳定输出、可追溯来源、企业资料投喂和长期学习能力。</x:v>
      </x:c>
    </x:row>
    <x:row r="3"/>
    <x:row r="4" ht="15" hidden="0" customHeight="1">
      <x:c r="A4" s="18" t="str">
        <x:v>材料总数</x:v>
      </x:c>
      <x:c r="B4" s="19"/>
      <x:c r="C4" s="19" t="str">
        <x:v>高优先级材料</x:v>
      </x:c>
      <x:c r="D4" s="19"/>
      <x:c r="E4" s="19" t="str">
        <x:v>外部知识源</x:v>
      </x:c>
      <x:c r="F4" s="19"/>
      <x:c r="G4" s="19" t="str">
        <x:v>高优先级来源</x:v>
      </x:c>
      <x:c r="H4" s="19"/>
      <x:c r="I4" s="19" t="str">
        <x:v>待投喂/待结构化项</x:v>
      </x:c>
      <x:c r="J4" s="19"/>
      <x:c r="K4" s="20"/>
    </x:row>
    <x:row r="5">
      <x:c r="A5" s="21" t="n">
        <x:f>COUNTA('Materials'!$A$5:$A$26)</x:f>
        <x:v>22</x:v>
      </x:c>
      <x:c r="B5" s="22"/>
      <x:c r="C5" s="22" t="n">
        <x:f>COUNTIF('Materials'!$I$5:$I$26,"高")</x:f>
        <x:v>15</x:v>
      </x:c>
      <x:c r="D5" s="22"/>
      <x:c r="E5" s="22" t="n">
        <x:f>COUNTA('SourceMap'!$A$5:$A$19)</x:f>
        <x:v>15</x:v>
      </x:c>
      <x:c r="F5" s="22"/>
      <x:c r="G5" s="22" t="n">
        <x:f>COUNTIF('SourceMap'!$H$5:$H$19,"高")</x:f>
        <x:v>9</x:v>
      </x:c>
      <x:c r="H5" s="22"/>
      <x:c r="I5" s="22" t="n">
        <x:f>COUNTIF('Materials'!$P$5:$P$26,"待投喂")+COUNTIF('Materials'!$P$5:$P$26,"待结构化")</x:f>
        <x:v>17</x:v>
      </x:c>
      <x:c r="J5" s="22"/>
      <x:c r="K5" s="23"/>
    </x:row>
    <x:row r="6">
      <x:c r="A6" s="21"/>
      <x:c r="B6" s="22"/>
      <x:c r="C6" s="22"/>
      <x:c r="D6" s="22"/>
      <x:c r="E6" s="22"/>
      <x:c r="F6" s="22"/>
      <x:c r="G6" s="22"/>
      <x:c r="H6" s="22"/>
      <x:c r="I6" s="22"/>
      <x:c r="J6" s="22"/>
      <x:c r="K6" s="23"/>
    </x:row>
    <x:row r="7" ht="15" hidden="0" customHeight="1">
      <x:c r="A7" s="10"/>
      <x:c r="B7" s="6"/>
      <x:c r="C7" s="6"/>
      <x:c r="D7" s="6"/>
      <x:c r="E7" s="6"/>
      <x:c r="F7" s="6"/>
      <x:c r="G7" s="6"/>
      <x:c r="H7" s="6"/>
      <x:c r="I7" s="6"/>
      <x:c r="J7" s="6"/>
      <x:c r="K7" s="11"/>
    </x:row>
    <x:row r="8" ht="15" hidden="0" customHeight="1">
      <x:c r="A8" s="26" t="str">
        <x:v>交付物</x:v>
      </x:c>
      <x:c r="B8" s="36" t="str">
        <x:v>说明</x:v>
      </x:c>
      <x:c r="C8" s="36" t="str">
        <x:v>对应Skill文件</x:v>
      </x:c>
      <x:c r="D8" s="36" t="str"/>
      <x:c r="E8" s="36" t="str"/>
      <x:c r="F8" s="36" t="str"/>
      <x:c r="G8" s="36" t="str"/>
      <x:c r="H8" s="36" t="str"/>
      <x:c r="I8" s="36" t="str"/>
      <x:c r="J8" s="36" t="str"/>
      <x:c r="K8" s="37" t="str"/>
    </x:row>
    <x:row r="9" ht="79.19999694824219" hidden="0" customHeight="1">
      <x:c r="A9" s="26" t="str">
        <x:v>Reference</x:v>
      </x:c>
      <x:c r="B9" s="36" t="str">
        <x:v>外部法规/资讯源治理、训练材料矩阵、输出契约</x:v>
      </x:c>
      <x:c r="C9" s="36" t="str">
        <x:v>references/source-governance.md；references/training-material-matrix.md；references/output-contracts.md</x:v>
      </x:c>
      <x:c r="D9" s="36" t="str"/>
      <x:c r="E9" s="36" t="str"/>
      <x:c r="F9" s="36" t="str"/>
      <x:c r="G9" s="36" t="str"/>
      <x:c r="H9" s="36" t="str"/>
      <x:c r="I9" s="36" t="str"/>
      <x:c r="J9" s="36" t="str"/>
      <x:c r="K9" s="37" t="str"/>
    </x:row>
    <x:row r="10" ht="39.599998474121094" hidden="0" customHeight="1">
      <x:c r="A10" s="26" t="str">
        <x:v>JSON Schema</x:v>
      </x:c>
      <x:c r="B10" s="36" t="str">
        <x:v>偏差报告、企业知识包、长期学习提醒三套固定字段</x:v>
      </x:c>
      <x:c r="C10" s="36" t="str">
        <x:v>references/schemas/*.schema.json</x:v>
      </x:c>
      <x:c r="D10" s="36" t="str"/>
      <x:c r="E10" s="36" t="str"/>
      <x:c r="F10" s="36" t="str"/>
      <x:c r="G10" s="36" t="str"/>
      <x:c r="H10" s="36" t="str"/>
      <x:c r="I10" s="36" t="str"/>
      <x:c r="J10" s="36" t="str"/>
      <x:c r="K10" s="37" t="str"/>
    </x:row>
    <x:row r="11" ht="66" hidden="0" customHeight="1">
      <x:c r="A11" s="27" t="str">
        <x:v>UI模板</x:v>
      </x:c>
      <x:c r="B11" s="38" t="str">
        <x:v>报告展示层与资料投递入口独立维护，可由同一JSON对象渲染</x:v>
      </x:c>
      <x:c r="C11" s="38" t="str">
        <x:v>assets/interactive-report-template.html；assets/company-compliance-portal.html</x:v>
      </x:c>
      <x:c r="D11" s="38" t="str"/>
      <x:c r="E11" s="38" t="str"/>
      <x:c r="F11" s="38" t="str"/>
      <x:c r="G11" s="38" t="str"/>
      <x:c r="H11" s="38" t="str"/>
      <x:c r="I11" s="38" t="str"/>
      <x:c r="J11" s="38" t="str"/>
      <x:c r="K11" s="39" t="str"/>
    </x:row>
    <x:row r="12"/>
    <x:row r="13" ht="15" hidden="0" customHeight="1">
      <x:c r="A13" s="40" t="str">
        <x:v>材料类别</x:v>
      </x:c>
      <x:c r="B13" s="40" t="str">
        <x:v>数量</x:v>
      </x:c>
    </x:row>
    <x:row r="14" ht="15" hidden="0" customHeight="1">
      <x:c r="A14" s="41" t="str">
        <x:v>外部法规</x:v>
      </x:c>
      <x:c r="B14" s="42" t="n">
        <x:f>COUNTIF('Materials'!$B$5:$B$26,A14)</x:f>
        <x:v>3</x:v>
      </x:c>
    </x:row>
    <x:row r="15" ht="15" hidden="0" customHeight="1">
      <x:c r="A15" s="43" t="str">
        <x:v>外部监管案例</x:v>
      </x:c>
      <x:c r="B15" s="44" t="n">
        <x:f>COUNTIF('Materials'!$B$5:$B$26,A15)</x:f>
        <x:v>1</x:v>
      </x:c>
    </x:row>
    <x:row r="16" ht="15" hidden="0" customHeight="1">
      <x:c r="A16" s="43" t="str">
        <x:v>企业体系文件</x:v>
      </x:c>
      <x:c r="B16" s="44" t="n">
        <x:f>COUNTIF('Materials'!$B$5:$B$26,A16)</x:f>
        <x:v>3</x:v>
      </x:c>
    </x:row>
    <x:row r="17" ht="15" hidden="0" customHeight="1">
      <x:c r="A17" s="43" t="str">
        <x:v>生产实操记录</x:v>
      </x:c>
      <x:c r="B17" s="44" t="n">
        <x:f>COUNTIF('Materials'!$B$5:$B$26,A17)</x:f>
        <x:v>2</x:v>
      </x:c>
    </x:row>
    <x:row r="18" ht="15" hidden="0" customHeight="1">
      <x:c r="A18" s="43" t="str">
        <x:v>动态质量数据</x:v>
      </x:c>
      <x:c r="B18" s="44" t="n">
        <x:f>COUNTIF('Materials'!$B$5:$B$26,A18)</x:f>
        <x:v>3</x:v>
      </x:c>
    </x:row>
    <x:row r="19" ht="15" hidden="0" customHeight="1">
      <x:c r="A19" s="43" t="str">
        <x:v>数据完整性</x:v>
      </x:c>
      <x:c r="B19" s="44" t="n">
        <x:f>COUNTIF('Materials'!$B$5:$B$26,A19)</x:f>
        <x:v>1</x:v>
      </x:c>
    </x:row>
    <x:row r="20" ht="15" hidden="0" customHeight="1">
      <x:c r="A20" s="43" t="str">
        <x:v>业务问题库</x:v>
      </x:c>
      <x:c r="B20" s="44" t="n">
        <x:f>COUNTIF('Materials'!$B$5:$B$26,A20)</x:f>
        <x:v>5</x:v>
      </x:c>
    </x:row>
    <x:row r="21" ht="15" hidden="0" customHeight="1">
      <x:c r="A21" s="45" t="str">
        <x:v>数据标注规范</x:v>
      </x:c>
      <x:c r="B21" s="46" t="n">
        <x:f>COUNTIF('Materials'!$B$5:$B$26,A21)</x:f>
        <x:v>4</x:v>
      </x:c>
    </x:row>
  </x:sheetData>
  <x:mergeCells>
    <x:mergeCell ref="A1:K1"/>
    <x:mergeCell ref="A2:K2"/>
    <x:mergeCell ref="A4:B4"/>
    <x:mergeCell ref="C4:D4"/>
    <x:mergeCell ref="E4:F4"/>
    <x:mergeCell ref="G4:H4"/>
    <x:mergeCell ref="I4:K4"/>
    <x:mergeCell ref="A5:B6"/>
    <x:mergeCell ref="C5:D6"/>
    <x:mergeCell ref="E5:F6"/>
    <x:mergeCell ref="G5:H6"/>
    <x:mergeCell ref="I5:K6"/>
  </x:mergeCells>
  <x:pageMargins left="0.7" right="0.7" top="0.75" bottom="0.75" header="0.3" footer="0.3"/>
  <x:drawing xmlns:r="http://schemas.openxmlformats.org/officeDocument/2006/relationships" r:id="Rc5c57aeace4a49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5" hidden="0" customWidth="1"/>
    <x:col min="3" max="3" width="18.75" hidden="0" customWidth="1"/>
    <x:col min="4" max="4" width="30" hidden="0" customWidth="1"/>
    <x:col min="5" max="5" width="16.25" hidden="0" customWidth="1"/>
    <x:col min="6" max="6" width="20" hidden="0" customWidth="1"/>
    <x:col min="7" max="7" width="15" hidden="0" customWidth="1"/>
    <x:col min="8" max="8" width="12.5" hidden="0" customWidth="1"/>
    <x:col min="9" max="9" width="10" hidden="0" customWidth="1"/>
    <x:col min="10" max="10" width="15" hidden="0" customWidth="1"/>
    <x:col min="11" max="11" width="23.75" hidden="0" customWidth="1"/>
    <x:col min="12" max="12" width="27.5" hidden="0" customWidth="1"/>
    <x:col min="13" max="13" width="23.75" hidden="0" customWidth="1"/>
    <x:col min="14" max="14" width="18.75" hidden="0" customWidth="1"/>
    <x:col min="15" max="15" width="12.5" hidden="0" customWidth="1"/>
    <x:col min="16" max="16" width="13.75" hidden="0" customWidth="1"/>
  </x:cols>
  <x:sheetData>
    <x:row r="1" ht="21.600000381469727" hidden="0" customHeight="1">
      <x:c r="A1" s="2" t="str">
        <x:v>训练材料台账</x:v>
      </x:c>
      <x:c r="B1" s="2" t="str">
        <x:v>训练材料台账</x:v>
      </x:c>
      <x:c r="C1" s="2" t="str">
        <x:v>训练材料台账</x:v>
      </x:c>
      <x:c r="D1" s="2" t="str">
        <x:v>训练材料台账</x:v>
      </x:c>
      <x:c r="E1" s="2" t="str">
        <x:v>训练材料台账</x:v>
      </x:c>
      <x:c r="F1" s="2" t="str">
        <x:v>训练材料台账</x:v>
      </x:c>
      <x:c r="G1" s="2" t="str">
        <x:v>训练材料台账</x:v>
      </x:c>
      <x:c r="H1" s="2" t="str">
        <x:v>训练材料台账</x:v>
      </x:c>
      <x:c r="I1" s="2" t="str">
        <x:v>训练材料台账</x:v>
      </x:c>
      <x:c r="J1" s="2" t="str">
        <x:v>训练材料台账</x:v>
      </x:c>
      <x:c r="K1" s="2" t="str">
        <x:v>训练材料台账</x:v>
      </x:c>
      <x:c r="L1" s="2" t="str">
        <x:v>训练材料台账</x:v>
      </x:c>
      <x:c r="M1" s="2" t="str">
        <x:v>训练材料台账</x:v>
      </x:c>
      <x:c r="N1" s="2" t="str">
        <x:v>训练材料台账</x:v>
      </x:c>
      <x:c r="O1" s="2" t="str">
        <x:v>训练材料台账</x:v>
      </x:c>
      <x:c r="P1" s="2" t="str">
        <x:v>训练材料台账</x:v>
      </x:c>
    </x:row>
    <x:row r="2" ht="15" hidden="0" customHeight="1">
      <x:c r="A2" s="5" t="str">
        <x:v>第二张表的企业级完善版：增加来源、适用区域、更新频率、Skill模块、标注要求、复核点和状态。</x:v>
      </x:c>
    </x:row>
    <x:row r="3"/>
    <x:row r="4" ht="15" hidden="0" customHeight="1">
      <x:c r="A4" s="68" t="str">
        <x:v>material_id</x:v>
      </x:c>
      <x:c r="B4" s="69" t="str">
        <x:v>材料类别</x:v>
      </x:c>
      <x:c r="C4" s="69" t="str">
        <x:v>材料名称</x:v>
      </x:c>
      <x:c r="D4" s="69" t="str">
        <x:v>具体内容示例</x:v>
      </x:c>
      <x:c r="E4" s="69" t="str">
        <x:v>来源/责任部门</x:v>
      </x:c>
      <x:c r="F4" s="69" t="str">
        <x:v>来源URL/企业位置</x:v>
      </x:c>
      <x:c r="G4" s="69" t="str">
        <x:v>适用区域/厂区</x:v>
      </x:c>
      <x:c r="H4" s="69" t="str">
        <x:v>版本/更新日期</x:v>
      </x:c>
      <x:c r="I4" s="69" t="str">
        <x:v>优先级</x:v>
      </x:c>
      <x:c r="J4" s="69" t="str">
        <x:v>更新频率</x:v>
      </x:c>
      <x:c r="K4" s="69" t="str">
        <x:v>适配Skill模块</x:v>
      </x:c>
      <x:c r="L4" s="69" t="str">
        <x:v>提取目标</x:v>
      </x:c>
      <x:c r="M4" s="69" t="str">
        <x:v>标注要求</x:v>
      </x:c>
      <x:c r="N4" s="69" t="str">
        <x:v>质量校验项</x:v>
      </x:c>
      <x:c r="O4" s="69" t="str">
        <x:v>保密等级</x:v>
      </x:c>
      <x:c r="P4" s="70" t="str">
        <x:v>状态</x:v>
      </x:c>
    </x:row>
    <x:row r="5" ht="24" hidden="0" customHeight="1">
      <x:c r="A5" s="59" t="str">
        <x:v>MAT-001</x:v>
      </x:c>
      <x:c r="B5" s="60" t="str">
        <x:v>外部法规</x:v>
      </x:c>
      <x:c r="C5" s="60" t="str">
        <x:v>国家与国际法规</x:v>
      </x:c>
      <x:c r="D5" s="60" t="str">
        <x:v>NMPA/中国GMP；EU GMP；FDA 21 CFR；ICH Q8/Q9/Q10/Q12</x:v>
      </x:c>
      <x:c r="E5" s="60" t="str">
        <x:v>官方机构</x:v>
      </x:c>
      <x:c r="F5" s="60" t="str">
        <x:v>见外部资讯源映射</x:v>
      </x:c>
      <x:c r="G5" s="60" t="str">
        <x:v>中国/欧盟/美国/国际</x:v>
      </x:c>
      <x:c r="H5" s="60" t="str">
        <x:v>待补充</x:v>
      </x:c>
      <x:c r="I5" s="60" t="str">
        <x:v>高</x:v>
      </x:c>
      <x:c r="J5" s="60" t="str">
        <x:v>每季度/事件触发</x:v>
      </x:c>
      <x:c r="K5" s="60" t="str">
        <x:v>偏差报告；CAPA；法规依据</x:v>
      </x:c>
      <x:c r="L5" s="60" t="str">
        <x:v>法规条款、适用范围、最后更新日期</x:v>
      </x:c>
      <x:c r="M5" s="60" t="str">
        <x:v>标注国家地区、条款、适用剂型</x:v>
      </x:c>
      <x:c r="N5" s="60" t="str">
        <x:v>法规/QA人工复核</x:v>
      </x:c>
      <x:c r="O5" s="60" t="str">
        <x:v>公开</x:v>
      </x:c>
      <x:c r="P5" s="61" t="str">
        <x:v>待结构化</x:v>
      </x:c>
    </x:row>
    <x:row r="6" ht="24" hidden="0" customHeight="1">
      <x:c r="A6" s="59" t="str">
        <x:v>MAT-002</x:v>
      </x:c>
      <x:c r="B6" s="60" t="str">
        <x:v>外部法规</x:v>
      </x:c>
      <x:c r="C6" s="60" t="str">
        <x:v>技术指南/附录</x:v>
      </x:c>
      <x:c r="D6" s="60" t="str">
        <x:v>无菌药品附录；计算机化系统附录；ISPE指南；ChP/USP</x:v>
      </x:c>
      <x:c r="E6" s="60" t="str">
        <x:v>官方/协会/药典</x:v>
      </x:c>
      <x:c r="F6" s="60" t="str">
        <x:v>待补充</x:v>
      </x:c>
      <x:c r="G6" s="60" t="str">
        <x:v>按来源适用</x:v>
      </x:c>
      <x:c r="H6" s="60" t="str">
        <x:v>待补充</x:v>
      </x:c>
      <x:c r="I6" s="60" t="str">
        <x:v>高</x:v>
      </x:c>
      <x:c r="J6" s="60" t="str">
        <x:v>每季度/事件触发</x:v>
      </x:c>
      <x:c r="K6" s="60" t="str">
        <x:v>无菌；数据完整性；验证；QC调查</x:v>
      </x:c>
      <x:c r="L6" s="60" t="str">
        <x:v>剂型、系统、适用场景</x:v>
      </x:c>
      <x:c r="M6" s="60" t="str">
        <x:v>按章节和偏差类型打标签</x:v>
      </x:c>
      <x:c r="N6" s="60" t="str">
        <x:v>确认企业是否采用</x:v>
      </x:c>
      <x:c r="O6" s="60" t="str">
        <x:v>公开/内部</x:v>
      </x:c>
      <x:c r="P6" s="61" t="str">
        <x:v>待收集</x:v>
      </x:c>
    </x:row>
    <x:row r="7" ht="24" hidden="0" customHeight="1">
      <x:c r="A7" s="59" t="str">
        <x:v>MAT-003</x:v>
      </x:c>
      <x:c r="B7" s="60" t="str">
        <x:v>外部法规</x:v>
      </x:c>
      <x:c r="C7" s="60" t="str">
        <x:v>ALCOA+与数据完整性指南</x:v>
      </x:c>
      <x:c r="D7" s="60" t="str">
        <x:v>审计追踪、权限、电子记录、备份恢复</x:v>
      </x:c>
      <x:c r="E7" s="60" t="str">
        <x:v>官方/行业指南</x:v>
      </x:c>
      <x:c r="F7" s="60" t="str">
        <x:v>待补充</x:v>
      </x:c>
      <x:c r="G7" s="60" t="str">
        <x:v>国际/企业适配</x:v>
      </x:c>
      <x:c r="H7" s="60" t="str">
        <x:v>待补充</x:v>
      </x:c>
      <x:c r="I7" s="60" t="str">
        <x:v>高</x:v>
      </x:c>
      <x:c r="J7" s="60" t="str">
        <x:v>每季度</x:v>
      </x:c>
      <x:c r="K7" s="60" t="str">
        <x:v>数据完整性；计算机化系统</x:v>
      </x:c>
      <x:c r="L7" s="60" t="str">
        <x:v>数据完整性检查点</x:v>
      </x:c>
      <x:c r="M7" s="60" t="str">
        <x:v>按ALCOA+维度标注</x:v>
      </x:c>
      <x:c r="N7" s="60" t="str">
        <x:v>CSV/QA复核</x:v>
      </x:c>
      <x:c r="O7" s="60" t="str">
        <x:v>公开/内部</x:v>
      </x:c>
      <x:c r="P7" s="61" t="str">
        <x:v>待结构化</x:v>
      </x:c>
    </x:row>
    <x:row r="8" ht="24" hidden="0" customHeight="1">
      <x:c r="A8" s="59" t="str">
        <x:v>MAT-004</x:v>
      </x:c>
      <x:c r="B8" s="60" t="str">
        <x:v>外部监管案例</x:v>
      </x:c>
      <x:c r="C8" s="60" t="str">
        <x:v>Warning Letter/检查缺陷</x:v>
      </x:c>
      <x:c r="D8" s="60" t="str">
        <x:v>FDA警告信、NMPA/CFDI检查缺陷、EudraGMDP不符合项</x:v>
      </x:c>
      <x:c r="E8" s="60" t="str">
        <x:v>监管机构</x:v>
      </x:c>
      <x:c r="F8" s="60" t="str">
        <x:v>SRC-009；SRC-015</x:v>
      </x:c>
      <x:c r="G8" s="60" t="str">
        <x:v>美国/欧盟/中国</x:v>
      </x:c>
      <x:c r="H8" s="60" t="str">
        <x:v>动态</x:v>
      </x:c>
      <x:c r="I8" s="60" t="str">
        <x:v>高</x:v>
      </x:c>
      <x:c r="J8" s="60" t="str">
        <x:v>每月/事件触发</x:v>
      </x:c>
      <x:c r="K8" s="60" t="str">
        <x:v>审计模拟；CAPA有效性；缺陷案例库</x:v>
      </x:c>
      <x:c r="L8" s="60" t="str">
        <x:v>缺陷、系统、根因、CAPA模式</x:v>
      </x:c>
      <x:c r="M8" s="60" t="str">
        <x:v>严重度、系统、整改证据</x:v>
      </x:c>
      <x:c r="N8" s="60" t="str">
        <x:v>QA/法规复核</x:v>
      </x:c>
      <x:c r="O8" s="60" t="str">
        <x:v>公开</x:v>
      </x:c>
      <x:c r="P8" s="61" t="str">
        <x:v>待结构化</x:v>
      </x:c>
    </x:row>
    <x:row r="9" ht="15" hidden="0" customHeight="1">
      <x:c r="A9" s="59" t="str">
        <x:v>MAT-005</x:v>
      </x:c>
      <x:c r="B9" s="60" t="str">
        <x:v>企业体系文件</x:v>
      </x:c>
      <x:c r="C9" s="60" t="str">
        <x:v>质量体系顶层文件</x:v>
      </x:c>
      <x:c r="D9" s="60" t="str">
        <x:v>质量手册；质量风险管理计划；VMP</x:v>
      </x:c>
      <x:c r="E9" s="60" t="str">
        <x:v>QA/质量体系</x:v>
      </x:c>
      <x:c r="F9" s="60" t="str">
        <x:v>企业资料库</x:v>
      </x:c>
      <x:c r="G9" s="60" t="str">
        <x:v>企业/厂区</x:v>
      </x:c>
      <x:c r="H9" s="60" t="str">
        <x:v>随文件变更</x:v>
      </x:c>
      <x:c r="I9" s="60" t="str">
        <x:v>高</x:v>
      </x:c>
      <x:c r="J9" s="60" t="str">
        <x:v>随文件变更</x:v>
      </x:c>
      <x:c r="K9" s="60" t="str">
        <x:v>企业知识包；审批边界</x:v>
      </x:c>
      <x:c r="L9" s="60" t="str">
        <x:v>风险等级、质量职责、审批角色</x:v>
      </x:c>
      <x:c r="M9" s="60" t="str">
        <x:v>版本、条款、角色</x:v>
      </x:c>
      <x:c r="N9" s="60" t="str">
        <x:v>QA批准版本</x:v>
      </x:c>
      <x:c r="O9" s="60" t="str">
        <x:v>内部/机密</x:v>
      </x:c>
      <x:c r="P9" s="61" t="str">
        <x:v>待投喂</x:v>
      </x:c>
    </x:row>
    <x:row r="10" ht="24" hidden="0" customHeight="1">
      <x:c r="A10" s="59" t="str">
        <x:v>MAT-006</x:v>
      </x:c>
      <x:c r="B10" s="60" t="str">
        <x:v>企业体系文件</x:v>
      </x:c>
      <x:c r="C10" s="60" t="str">
        <x:v>SOP</x:v>
      </x:c>
      <x:c r="D10" s="60" t="str">
        <x:v>生产、更衣、清洁、取样、检验、放行、审计SOP</x:v>
      </x:c>
      <x:c r="E10" s="60" t="str">
        <x:v>生产/QA/QC</x:v>
      </x:c>
      <x:c r="F10" s="60" t="str">
        <x:v>企业资料库</x:v>
      </x:c>
      <x:c r="G10" s="60" t="str">
        <x:v>企业/厂区/车间</x:v>
      </x:c>
      <x:c r="H10" s="60" t="str">
        <x:v>随文件变更</x:v>
      </x:c>
      <x:c r="I10" s="60" t="str">
        <x:v>高</x:v>
      </x:c>
      <x:c r="J10" s="60" t="str">
        <x:v>随文件变更</x:v>
      </x:c>
      <x:c r="K10" s="60" t="str">
        <x:v>调查证据；CAPA；QA审核清单</x:v>
      </x:c>
      <x:c r="L10" s="60" t="str">
        <x:v>标准、异常处置、记录要求</x:v>
      </x:c>
      <x:c r="M10" s="60" t="str">
        <x:v>流程节点、岗位、记录</x:v>
      </x:c>
      <x:c r="N10" s="60" t="str">
        <x:v>文件管理员/QA复核</x:v>
      </x:c>
      <x:c r="O10" s="60" t="str">
        <x:v>内部/机密</x:v>
      </x:c>
      <x:c r="P10" s="61" t="str">
        <x:v>待投喂</x:v>
      </x:c>
    </x:row>
    <x:row r="11" ht="24" hidden="0" customHeight="1">
      <x:c r="A11" s="59" t="str">
        <x:v>MAT-007</x:v>
      </x:c>
      <x:c r="B11" s="60" t="str">
        <x:v>企业体系文件</x:v>
      </x:c>
      <x:c r="C11" s="60" t="str">
        <x:v>STP/SPEC</x:v>
      </x:c>
      <x:c r="D11" s="60" t="str">
        <x:v>原辅料、中间体、成品质量标准、检验标准操作规程</x:v>
      </x:c>
      <x:c r="E11" s="60" t="str">
        <x:v>QC/QA</x:v>
      </x:c>
      <x:c r="F11" s="60" t="str">
        <x:v>企业资料库</x:v>
      </x:c>
      <x:c r="G11" s="60" t="str">
        <x:v>产品线/厂区</x:v>
      </x:c>
      <x:c r="H11" s="60" t="str">
        <x:v>随文件变更</x:v>
      </x:c>
      <x:c r="I11" s="60" t="str">
        <x:v>高</x:v>
      </x:c>
      <x:c r="J11" s="60" t="str">
        <x:v>随文件变更</x:v>
      </x:c>
      <x:c r="K11" s="60" t="str">
        <x:v>质量影响评估；OOS/OOT</x:v>
      </x:c>
      <x:c r="L11" s="60" t="str">
        <x:v>CQA、内控限、放行标准</x:v>
      </x:c>
      <x:c r="M11" s="60" t="str">
        <x:v>质量属性、限度、方法</x:v>
      </x:c>
      <x:c r="N11" s="60" t="str">
        <x:v>QC/QA复核</x:v>
      </x:c>
      <x:c r="O11" s="60" t="str">
        <x:v>内部/机密</x:v>
      </x:c>
      <x:c r="P11" s="61" t="str">
        <x:v>待投喂</x:v>
      </x:c>
    </x:row>
    <x:row r="12" ht="24" hidden="0" customHeight="1">
      <x:c r="A12" s="59" t="str">
        <x:v>MAT-008</x:v>
      </x:c>
      <x:c r="B12" s="60" t="str">
        <x:v>生产实操记录</x:v>
      </x:c>
      <x:c r="C12" s="60" t="str">
        <x:v>BMR/BPR</x:v>
      </x:c>
      <x:c r="D12" s="60" t="str">
        <x:v>批生产记录模板、批包装记录模板、BOM</x:v>
      </x:c>
      <x:c r="E12" s="60" t="str">
        <x:v>生产/QA</x:v>
      </x:c>
      <x:c r="F12" s="60" t="str">
        <x:v>企业资料库</x:v>
      </x:c>
      <x:c r="G12" s="60" t="str">
        <x:v>产品/剂型</x:v>
      </x:c>
      <x:c r="H12" s="60" t="str">
        <x:v>随模板变更</x:v>
      </x:c>
      <x:c r="I12" s="60" t="str">
        <x:v>高</x:v>
      </x:c>
      <x:c r="J12" s="60" t="str">
        <x:v>随文件变更</x:v>
      </x:c>
      <x:c r="K12" s="60" t="str">
        <x:v>偏差事实结构化；批次影响评估</x:v>
      </x:c>
      <x:c r="L12" s="60" t="str">
        <x:v>CPP、工序时限、物料平衡</x:v>
      </x:c>
      <x:c r="M12" s="60" t="str">
        <x:v>工序、参数、签名复核</x:v>
      </x:c>
      <x:c r="N12" s="60" t="str">
        <x:v>生产/QA复核</x:v>
      </x:c>
      <x:c r="O12" s="60" t="str">
        <x:v>内部/机密</x:v>
      </x:c>
      <x:c r="P12" s="61" t="str">
        <x:v>待投喂</x:v>
      </x:c>
    </x:row>
    <x:row r="13" ht="24" hidden="0" customHeight="1">
      <x:c r="A13" s="59" t="str">
        <x:v>MAT-009</x:v>
      </x:c>
      <x:c r="B13" s="60" t="str">
        <x:v>生产实操记录</x:v>
      </x:c>
      <x:c r="C13" s="60" t="str">
        <x:v>设备/设施文档</x:v>
      </x:c>
      <x:c r="D13" s="60" t="str">
        <x:v>设备说明书、IQ/OQ/PQ、维护保养日志、校准记录</x:v>
      </x:c>
      <x:c r="E13" s="60" t="str">
        <x:v>设备/工程</x:v>
      </x:c>
      <x:c r="F13" s="60" t="str">
        <x:v>企业资料库</x:v>
      </x:c>
      <x:c r="G13" s="60" t="str">
        <x:v>厂区/设备</x:v>
      </x:c>
      <x:c r="H13" s="60" t="str">
        <x:v>随状态变更</x:v>
      </x:c>
      <x:c r="I13" s="60" t="str">
        <x:v>中高</x:v>
      </x:c>
      <x:c r="J13" s="60" t="str">
        <x:v>每月/随变更</x:v>
      </x:c>
      <x:c r="K13" s="60" t="str">
        <x:v>设备偏差；预测提醒</x:v>
      </x:c>
      <x:c r="L13" s="60" t="str">
        <x:v>报警、校准周期、维护频率</x:v>
      </x:c>
      <x:c r="M13" s="60" t="str">
        <x:v>设备编号、状态、周期</x:v>
      </x:c>
      <x:c r="N13" s="60" t="str">
        <x:v>工程/QA复核</x:v>
      </x:c>
      <x:c r="O13" s="60" t="str">
        <x:v>内部</x:v>
      </x:c>
      <x:c r="P13" s="61" t="str">
        <x:v>待投喂</x:v>
      </x:c>
    </x:row>
    <x:row r="14" ht="24" hidden="0" customHeight="1">
      <x:c r="A14" s="59" t="str">
        <x:v>MAT-010</x:v>
      </x:c>
      <x:c r="B14" s="60" t="str">
        <x:v>动态质量数据</x:v>
      </x:c>
      <x:c r="C14" s="60" t="str">
        <x:v>偏差与CAPA库</x:v>
      </x:c>
      <x:c r="D14" s="60" t="str">
        <x:v>历史偏差、RCA、CAPA追踪、有效性确认</x:v>
      </x:c>
      <x:c r="E14" s="60" t="str">
        <x:v>QA</x:v>
      </x:c>
      <x:c r="F14" s="60" t="str">
        <x:v>企业质量系统</x:v>
      </x:c>
      <x:c r="G14" s="60" t="str">
        <x:v>企业/产品/工序</x:v>
      </x:c>
      <x:c r="H14" s="60" t="str">
        <x:v>持续更新</x:v>
      </x:c>
      <x:c r="I14" s="60" t="str">
        <x:v>高</x:v>
      </x:c>
      <x:c r="J14" s="60" t="str">
        <x:v>每周/每月</x:v>
      </x:c>
      <x:c r="K14" s="60" t="str">
        <x:v>长期学习；复查提醒；重复偏差识别</x:v>
      </x:c>
      <x:c r="L14" s="60" t="str">
        <x:v>事件编号、根因模式、CAPA状态</x:v>
      </x:c>
      <x:c r="M14" s="60" t="str">
        <x:v>风险等级、复查日期、有效性</x:v>
      </x:c>
      <x:c r="N14" s="60" t="str">
        <x:v>QA复核</x:v>
      </x:c>
      <x:c r="O14" s="60" t="str">
        <x:v>内部/机密</x:v>
      </x:c>
      <x:c r="P14" s="61" t="str">
        <x:v>待投喂</x:v>
      </x:c>
    </x:row>
    <x:row r="15" ht="15" hidden="0" customHeight="1">
      <x:c r="A15" s="59" t="str">
        <x:v>MAT-011</x:v>
      </x:c>
      <x:c r="B15" s="60" t="str">
        <x:v>动态质量数据</x:v>
      </x:c>
      <x:c r="C15" s="60" t="str">
        <x:v>变更控制记录</x:v>
      </x:c>
      <x:c r="D15" s="60" t="str">
        <x:v>变更申请、风险评估、关闭证明</x:v>
      </x:c>
      <x:c r="E15" s="60" t="str">
        <x:v>QA/注册/生产</x:v>
      </x:c>
      <x:c r="F15" s="60" t="str">
        <x:v>企业质量系统</x:v>
      </x:c>
      <x:c r="G15" s="60" t="str">
        <x:v>企业/产品/系统</x:v>
      </x:c>
      <x:c r="H15" s="60" t="str">
        <x:v>持续更新</x:v>
      </x:c>
      <x:c r="I15" s="60" t="str">
        <x:v>中高</x:v>
      </x:c>
      <x:c r="J15" s="60" t="str">
        <x:v>每月</x:v>
      </x:c>
      <x:c r="K15" s="60" t="str">
        <x:v>影响评估；验证联动</x:v>
      </x:c>
      <x:c r="L15" s="60" t="str">
        <x:v>变更类型、影响范围、关联CAPA</x:v>
      </x:c>
      <x:c r="M15" s="60" t="str">
        <x:v>变更类别、状态、关闭证据</x:v>
      </x:c>
      <x:c r="N15" s="60" t="str">
        <x:v>QA/注册复核</x:v>
      </x:c>
      <x:c r="O15" s="60" t="str">
        <x:v>内部/机密</x:v>
      </x:c>
      <x:c r="P15" s="61" t="str">
        <x:v>待投喂</x:v>
      </x:c>
    </x:row>
    <x:row r="16" ht="24" hidden="0" customHeight="1">
      <x:c r="A16" s="59" t="str">
        <x:v>MAT-012</x:v>
      </x:c>
      <x:c r="B16" s="60" t="str">
        <x:v>动态质量数据</x:v>
      </x:c>
      <x:c r="C16" s="60" t="str">
        <x:v>审计与缺陷报告</x:v>
      </x:c>
      <x:c r="D16" s="60" t="str">
        <x:v>内部自检、官方检查、客户审计缺陷与整改</x:v>
      </x:c>
      <x:c r="E16" s="60" t="str">
        <x:v>QA/审计</x:v>
      </x:c>
      <x:c r="F16" s="60" t="str">
        <x:v>企业质量系统</x:v>
      </x:c>
      <x:c r="G16" s="60" t="str">
        <x:v>企业/厂区</x:v>
      </x:c>
      <x:c r="H16" s="60" t="str">
        <x:v>持续更新</x:v>
      </x:c>
      <x:c r="I16" s="60" t="str">
        <x:v>高</x:v>
      </x:c>
      <x:c r="J16" s="60" t="str">
        <x:v>每月/事件触发</x:v>
      </x:c>
      <x:c r="K16" s="60" t="str">
        <x:v>审计模拟；管理层质量摘要</x:v>
      </x:c>
      <x:c r="L16" s="60" t="str">
        <x:v>缺陷系统、严重度、整改承诺</x:v>
      </x:c>
      <x:c r="M16" s="60" t="str">
        <x:v>系统、严重度、整改证据</x:v>
      </x:c>
      <x:c r="N16" s="60" t="str">
        <x:v>QA/管理层复核</x:v>
      </x:c>
      <x:c r="O16" s="60" t="str">
        <x:v>内部/机密</x:v>
      </x:c>
      <x:c r="P16" s="61" t="str">
        <x:v>待投喂</x:v>
      </x:c>
    </x:row>
    <x:row r="17" ht="24" hidden="0" customHeight="1">
      <x:c r="A17" s="59" t="str">
        <x:v>MAT-013</x:v>
      </x:c>
      <x:c r="B17" s="60" t="str">
        <x:v>数据完整性</x:v>
      </x:c>
      <x:c r="C17" s="60" t="str">
        <x:v>系统审计追踪资料</x:v>
      </x:c>
      <x:c r="D17" s="60" t="str">
        <x:v>计算机化系统清单、权限列表、备份恢复规程</x:v>
      </x:c>
      <x:c r="E17" s="60" t="str">
        <x:v>IT/CSV/QA</x:v>
      </x:c>
      <x:c r="F17" s="60" t="str">
        <x:v>企业资料库</x:v>
      </x:c>
      <x:c r="G17" s="60" t="str">
        <x:v>GxP系统</x:v>
      </x:c>
      <x:c r="H17" s="60" t="str">
        <x:v>随系统变更</x:v>
      </x:c>
      <x:c r="I17" s="60" t="str">
        <x:v>高</x:v>
      </x:c>
      <x:c r="J17" s="60" t="str">
        <x:v>每季度/随变更</x:v>
      </x:c>
      <x:c r="K17" s="60" t="str">
        <x:v>CSV；数据完整性；电子记录偏差</x:v>
      </x:c>
      <x:c r="L17" s="60" t="str">
        <x:v>GxP关键系统、权限矩阵</x:v>
      </x:c>
      <x:c r="M17" s="60" t="str">
        <x:v>系统、角色、审计追踪状态</x:v>
      </x:c>
      <x:c r="N17" s="60" t="str">
        <x:v>CSV/QA复核</x:v>
      </x:c>
      <x:c r="O17" s="60" t="str">
        <x:v>内部/机密</x:v>
      </x:c>
      <x:c r="P17" s="61" t="str">
        <x:v>待投喂</x:v>
      </x:c>
    </x:row>
    <x:row r="18" ht="15" hidden="0" customHeight="1">
      <x:c r="A18" s="59" t="str">
        <x:v>MAT-014</x:v>
      </x:c>
      <x:c r="B18" s="60" t="str">
        <x:v>业务问题库</x:v>
      </x:c>
      <x:c r="C18" s="60" t="str">
        <x:v>基础概念类</x:v>
      </x:c>
      <x:c r="D18" s="60" t="str">
        <x:v>GMP术语、偏差/CAPA/OOS定义</x:v>
      </x:c>
      <x:c r="E18" s="60" t="str">
        <x:v>QA/培训</x:v>
      </x:c>
      <x:c r="F18" s="60" t="str">
        <x:v>知识库</x:v>
      </x:c>
      <x:c r="G18" s="60" t="str">
        <x:v>企业/通用</x:v>
      </x:c>
      <x:c r="H18" s="60" t="str">
        <x:v>每年</x:v>
      </x:c>
      <x:c r="I18" s="60" t="str">
        <x:v>中</x:v>
      </x:c>
      <x:c r="J18" s="60" t="str">
        <x:v>每年</x:v>
      </x:c>
      <x:c r="K18" s="60" t="str">
        <x:v>培训问答；标准解释</x:v>
      </x:c>
      <x:c r="L18" s="60" t="str">
        <x:v>术语和企业命名</x:v>
      </x:c>
      <x:c r="M18" s="60" t="str">
        <x:v>术语、定义、适用范围</x:v>
      </x:c>
      <x:c r="N18" s="60" t="str">
        <x:v>QA复核</x:v>
      </x:c>
      <x:c r="O18" s="60" t="str">
        <x:v>内部</x:v>
      </x:c>
      <x:c r="P18" s="61" t="str">
        <x:v>待结构化</x:v>
      </x:c>
    </x:row>
    <x:row r="19" ht="15" hidden="0" customHeight="1">
      <x:c r="A19" s="59" t="str">
        <x:v>MAT-015</x:v>
      </x:c>
      <x:c r="B19" s="60" t="str">
        <x:v>业务问题库</x:v>
      </x:c>
      <x:c r="C19" s="60" t="str">
        <x:v>操作类</x:v>
      </x:c>
      <x:c r="D19" s="60" t="str">
        <x:v>某工序异常如何上报、如何临时控制</x:v>
      </x:c>
      <x:c r="E19" s="60" t="str">
        <x:v>生产/QA</x:v>
      </x:c>
      <x:c r="F19" s="60" t="str">
        <x:v>知识库</x:v>
      </x:c>
      <x:c r="G19" s="60" t="str">
        <x:v>岗位/工序</x:v>
      </x:c>
      <x:c r="H19" s="60" t="str">
        <x:v>随SOP变更</x:v>
      </x:c>
      <x:c r="I19" s="60" t="str">
        <x:v>中高</x:v>
      </x:c>
      <x:c r="J19" s="60" t="str">
        <x:v>随文件变更</x:v>
      </x:c>
      <x:c r="K19" s="60" t="str">
        <x:v>一线助手；现场处置建议</x:v>
      </x:c>
      <x:c r="L19" s="60" t="str">
        <x:v>SOP、岗位、记录要求</x:v>
      </x:c>
      <x:c r="M19" s="60" t="str">
        <x:v>流程、岗位、记录</x:v>
      </x:c>
      <x:c r="N19" s="60" t="str">
        <x:v>QA/生产复核</x:v>
      </x:c>
      <x:c r="O19" s="60" t="str">
        <x:v>内部</x:v>
      </x:c>
      <x:c r="P19" s="61" t="str">
        <x:v>待结构化</x:v>
      </x:c>
    </x:row>
    <x:row r="20" ht="15" hidden="0" customHeight="1">
      <x:c r="A20" s="59" t="str">
        <x:v>MAT-016</x:v>
      </x:c>
      <x:c r="B20" s="60" t="str">
        <x:v>业务问题库</x:v>
      </x:c>
      <x:c r="C20" s="60" t="str">
        <x:v>偏差处理类</x:v>
      </x:c>
      <x:c r="D20" s="60" t="str">
        <x:v>不同偏差类型的调查路径</x:v>
      </x:c>
      <x:c r="E20" s="60" t="str">
        <x:v>QA</x:v>
      </x:c>
      <x:c r="F20" s="60" t="str">
        <x:v>知识库</x:v>
      </x:c>
      <x:c r="G20" s="60" t="str">
        <x:v>企业/通用</x:v>
      </x:c>
      <x:c r="H20" s="60" t="str">
        <x:v>每年</x:v>
      </x:c>
      <x:c r="I20" s="60" t="str">
        <x:v>高</x:v>
      </x:c>
      <x:c r="J20" s="60" t="str">
        <x:v>每季度</x:v>
      </x:c>
      <x:c r="K20" s="60" t="str">
        <x:v>标准报告生成</x:v>
      </x:c>
      <x:c r="L20" s="60" t="str">
        <x:v>分类、等级、调查证据模板</x:v>
      </x:c>
      <x:c r="M20" s="60" t="str">
        <x:v>偏差类型、风险、证据</x:v>
      </x:c>
      <x:c r="N20" s="60" t="str">
        <x:v>QA复核</x:v>
      </x:c>
      <x:c r="O20" s="60" t="str">
        <x:v>内部</x:v>
      </x:c>
      <x:c r="P20" s="61" t="str">
        <x:v>待结构化</x:v>
      </x:c>
    </x:row>
    <x:row r="21" ht="15" hidden="0" customHeight="1">
      <x:c r="A21" s="59" t="str">
        <x:v>MAT-017</x:v>
      </x:c>
      <x:c r="B21" s="60" t="str">
        <x:v>业务问题库</x:v>
      </x:c>
      <x:c r="C21" s="60" t="str">
        <x:v>审计模拟类</x:v>
      </x:c>
      <x:c r="D21" s="60" t="str">
        <x:v>检查员问答、缺陷整改追问</x:v>
      </x:c>
      <x:c r="E21" s="60" t="str">
        <x:v>QA/培训</x:v>
      </x:c>
      <x:c r="F21" s="60" t="str">
        <x:v>知识库</x:v>
      </x:c>
      <x:c r="G21" s="60" t="str">
        <x:v>企业/审计</x:v>
      </x:c>
      <x:c r="H21" s="60" t="str">
        <x:v>每年/事件触发</x:v>
      </x:c>
      <x:c r="I21" s="60" t="str">
        <x:v>中高</x:v>
      </x:c>
      <x:c r="J21" s="60" t="str">
        <x:v>每季度</x:v>
      </x:c>
      <x:c r="K21" s="60" t="str">
        <x:v>评委演示；审计准备</x:v>
      </x:c>
      <x:c r="L21" s="60" t="str">
        <x:v>问题意图、证据要求和回答边界</x:v>
      </x:c>
      <x:c r="M21" s="60" t="str">
        <x:v>问题、证据、边界</x:v>
      </x:c>
      <x:c r="N21" s="60" t="str">
        <x:v>QA/审计复核</x:v>
      </x:c>
      <x:c r="O21" s="60" t="str">
        <x:v>内部</x:v>
      </x:c>
      <x:c r="P21" s="61" t="str">
        <x:v>待结构化</x:v>
      </x:c>
    </x:row>
    <x:row r="22" ht="15" hidden="0" customHeight="1">
      <x:c r="A22" s="59" t="str">
        <x:v>MAT-018</x:v>
      </x:c>
      <x:c r="B22" s="60" t="str">
        <x:v>业务问题库</x:v>
      </x:c>
      <x:c r="C22" s="60" t="str">
        <x:v>风险品评估类</x:v>
      </x:c>
      <x:c r="D22" s="60" t="str">
        <x:v>供应商、物料、工艺、设备风险题</x:v>
      </x:c>
      <x:c r="E22" s="60" t="str">
        <x:v>QA/供应商质量</x:v>
      </x:c>
      <x:c r="F22" s="60" t="str">
        <x:v>知识库</x:v>
      </x:c>
      <x:c r="G22" s="60" t="str">
        <x:v>企业/产品线</x:v>
      </x:c>
      <x:c r="H22" s="60" t="str">
        <x:v>每年</x:v>
      </x:c>
      <x:c r="I22" s="60" t="str">
        <x:v>中高</x:v>
      </x:c>
      <x:c r="J22" s="60" t="str">
        <x:v>每季度</x:v>
      </x:c>
      <x:c r="K22" s="60" t="str">
        <x:v>质量风险管理；预测提醒</x:v>
      </x:c>
      <x:c r="L22" s="60" t="str">
        <x:v>与ICH Q9风险工具映射</x:v>
      </x:c>
      <x:c r="M22" s="60" t="str">
        <x:v>风险对象、信号、行动</x:v>
      </x:c>
      <x:c r="N22" s="60" t="str">
        <x:v>QA复核</x:v>
      </x:c>
      <x:c r="O22" s="60" t="str">
        <x:v>内部</x:v>
      </x:c>
      <x:c r="P22" s="61" t="str">
        <x:v>待结构化</x:v>
      </x:c>
    </x:row>
    <x:row r="23" ht="24" hidden="0" customHeight="1">
      <x:c r="A23" s="59" t="str">
        <x:v>MAT-019</x:v>
      </x:c>
      <x:c r="B23" s="60" t="str">
        <x:v>数据标注规范</x:v>
      </x:c>
      <x:c r="C23" s="60" t="str">
        <x:v>术语统一</x:v>
      </x:c>
      <x:c r="D23" s="60" t="str">
        <x:v>偏差等级、CAPA状态、部门名称、剂型名称</x:v>
      </x:c>
      <x:c r="E23" s="60" t="str">
        <x:v>QA/数据治理</x:v>
      </x:c>
      <x:c r="F23" s="60" t="str">
        <x:v>标注规范</x:v>
      </x:c>
      <x:c r="G23" s="60" t="str">
        <x:v>企业</x:v>
      </x:c>
      <x:c r="H23" s="60" t="str">
        <x:v>随文件变更</x:v>
      </x:c>
      <x:c r="I23" s="60" t="str">
        <x:v>高</x:v>
      </x:c>
      <x:c r="J23" s="60" t="str">
        <x:v>随文件变更</x:v>
      </x:c>
      <x:c r="K23" s="60" t="str">
        <x:v>全部输出</x:v>
      </x:c>
      <x:c r="L23" s="60" t="str">
        <x:v>企业术语表和禁用表达</x:v>
      </x:c>
      <x:c r="M23" s="60" t="str">
        <x:v>术语、同义词、禁用词</x:v>
      </x:c>
      <x:c r="N23" s="60" t="str">
        <x:v>QA复核</x:v>
      </x:c>
      <x:c r="O23" s="60" t="str">
        <x:v>内部</x:v>
      </x:c>
      <x:c r="P23" s="61" t="str">
        <x:v>待建立</x:v>
      </x:c>
    </x:row>
    <x:row r="24" ht="15" hidden="0" customHeight="1">
      <x:c r="A24" s="59" t="str">
        <x:v>MAT-020</x:v>
      </x:c>
      <x:c r="B24" s="60" t="str">
        <x:v>数据标注规范</x:v>
      </x:c>
      <x:c r="C24" s="60" t="str">
        <x:v>风险等级标签</x:v>
      </x:c>
      <x:c r="D24" s="60" t="str">
        <x:v>低/中/高、严重/主要/一般、企业等级</x:v>
      </x:c>
      <x:c r="E24" s="60" t="str">
        <x:v>QA/数据治理</x:v>
      </x:c>
      <x:c r="F24" s="60" t="str">
        <x:v>标注规范</x:v>
      </x:c>
      <x:c r="G24" s="60" t="str">
        <x:v>企业</x:v>
      </x:c>
      <x:c r="H24" s="60" t="str">
        <x:v>随文件变更</x:v>
      </x:c>
      <x:c r="I24" s="60" t="str">
        <x:v>高</x:v>
      </x:c>
      <x:c r="J24" s="60" t="str">
        <x:v>随文件变更</x:v>
      </x:c>
      <x:c r="K24" s="60" t="str">
        <x:v>风险初判；仪表盘</x:v>
      </x:c>
      <x:c r="L24" s="60" t="str">
        <x:v>等级定义和升级条件</x:v>
      </x:c>
      <x:c r="M24" s="60" t="str">
        <x:v>等级、触发条件、审批</x:v>
      </x:c>
      <x:c r="N24" s="60" t="str">
        <x:v>QA复核</x:v>
      </x:c>
      <x:c r="O24" s="60" t="str">
        <x:v>内部</x:v>
      </x:c>
      <x:c r="P24" s="61" t="str">
        <x:v>待建立</x:v>
      </x:c>
    </x:row>
    <x:row r="25" ht="15" hidden="0" customHeight="1">
      <x:c r="A25" s="59" t="str">
        <x:v>MAT-021</x:v>
      </x:c>
      <x:c r="B25" s="60" t="str">
        <x:v>数据标注规范</x:v>
      </x:c>
      <x:c r="C25" s="60" t="str">
        <x:v>问答格式</x:v>
      </x:c>
      <x:c r="D25" s="60" t="str">
        <x:v>法规风格、QA风格、管理层摘要风格</x:v>
      </x:c>
      <x:c r="E25" s="60" t="str">
        <x:v>QA/数据治理</x:v>
      </x:c>
      <x:c r="F25" s="60" t="str">
        <x:v>标注规范</x:v>
      </x:c>
      <x:c r="G25" s="60" t="str">
        <x:v>企业</x:v>
      </x:c>
      <x:c r="H25" s="60" t="str">
        <x:v>每年</x:v>
      </x:c>
      <x:c r="I25" s="60" t="str">
        <x:v>中</x:v>
      </x:c>
      <x:c r="J25" s="60" t="str">
        <x:v>每年</x:v>
      </x:c>
      <x:c r="K25" s="60" t="str">
        <x:v>多场景输出</x:v>
      </x:c>
      <x:c r="L25" s="60" t="str">
        <x:v>固定字段、长度和语气</x:v>
      </x:c>
      <x:c r="M25" s="60" t="str">
        <x:v>格式、语气、受众</x:v>
      </x:c>
      <x:c r="N25" s="60" t="str">
        <x:v>QA/业务复核</x:v>
      </x:c>
      <x:c r="O25" s="60" t="str">
        <x:v>内部</x:v>
      </x:c>
      <x:c r="P25" s="61" t="str">
        <x:v>待建立</x:v>
      </x:c>
    </x:row>
    <x:row r="26" ht="24" hidden="0" customHeight="1">
      <x:c r="A26" s="62" t="str">
        <x:v>MAT-022</x:v>
      </x:c>
      <x:c r="B26" s="63" t="str">
        <x:v>数据标注规范</x:v>
      </x:c>
      <x:c r="C26" s="63" t="str">
        <x:v>评估指标</x:v>
      </x:c>
      <x:c r="D26" s="63" t="str">
        <x:v>完整性、可追溯性、CAPA可执行性、幻觉率</x:v>
      </x:c>
      <x:c r="E26" s="63" t="str">
        <x:v>QA/项目组</x:v>
      </x:c>
      <x:c r="F26" s="63" t="str">
        <x:v>验收规范</x:v>
      </x:c>
      <x:c r="G26" s="63" t="str">
        <x:v>企业/项目</x:v>
      </x:c>
      <x:c r="H26" s="63" t="str">
        <x:v>每季度</x:v>
      </x:c>
      <x:c r="I26" s="63" t="str">
        <x:v>高</x:v>
      </x:c>
      <x:c r="J26" s="63" t="str">
        <x:v>每季度</x:v>
      </x:c>
      <x:c r="K26" s="63" t="str">
        <x:v>自查与验收</x:v>
      </x:c>
      <x:c r="L26" s="63" t="str">
        <x:v>每次输出可按指标打分</x:v>
      </x:c>
      <x:c r="M26" s="63" t="str">
        <x:v>指标、阈值、复核人</x:v>
      </x:c>
      <x:c r="N26" s="63" t="str">
        <x:v>项目负责人复核</x:v>
      </x:c>
      <x:c r="O26" s="63" t="str">
        <x:v>内部</x:v>
      </x:c>
      <x:c r="P26" s="64" t="str">
        <x:v>待建立</x:v>
      </x:c>
    </x:row>
  </x:sheetData>
  <x:mergeCells>
    <x:mergeCell ref="A1:P1"/>
    <x:mergeCell ref="A2:P2"/>
  </x:mergeCells>
  <x:conditionalFormatting sqref="I5:I26">
    <x:cfRule type="containsText" dxfId="0" priority="1" operator="containsText" text="高"/>
  </x:conditionalFormatting>
  <x:dataValidations count="2">
    <x:dataValidation type="list" sqref="I5:I26">
      <x:formula1>"高,中高,中,低"</x:formula1>
    </x:dataValidation>
    <x:dataValidation type="list" sqref="P5:P26">
      <x:formula1>"待收集,待结构化,已入库,待复核,需更新,待投喂,待建立"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7dfbe360914a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30" hidden="0" customWidth="1"/>
    <x:col min="4" max="4" width="42.5" hidden="0" customWidth="1"/>
    <x:col min="5" max="5" width="28.75" hidden="0" customWidth="1"/>
    <x:col min="6" max="6" width="28.75" hidden="0" customWidth="1"/>
    <x:col min="7" max="7" width="16.25" hidden="0" customWidth="1"/>
    <x:col min="8" max="8" width="10" hidden="0" customWidth="1"/>
  </x:cols>
  <x:sheetData>
    <x:row r="1" ht="21.600000381469727" hidden="0" customHeight="1">
      <x:c r="A1" s="2" t="str">
        <x:v>外部资讯源映射</x:v>
      </x:c>
      <x:c r="B1" s="2" t="str">
        <x:v>外部资讯源映射</x:v>
      </x:c>
      <x:c r="C1" s="2" t="str">
        <x:v>外部资讯源映射</x:v>
      </x:c>
      <x:c r="D1" s="2" t="str">
        <x:v>外部资讯源映射</x:v>
      </x:c>
      <x:c r="E1" s="2" t="str">
        <x:v>外部资讯源映射</x:v>
      </x:c>
      <x:c r="F1" s="2" t="str">
        <x:v>外部资讯源映射</x:v>
      </x:c>
      <x:c r="G1" s="2" t="str">
        <x:v>外部资讯源映射</x:v>
      </x:c>
      <x:c r="H1" s="2" t="str">
        <x:v>外部资讯源映射</x:v>
      </x:c>
    </x:row>
    <x:row r="2" ht="15" hidden="0" customHeight="1">
      <x:c r="A2" s="5" t="str">
        <x:v>第一张表的结构化版本：保留URL，并补充主要用途、适配模块、更新频率和优先级。</x:v>
      </x:c>
    </x:row>
    <x:row r="3"/>
    <x:row r="4" ht="15" hidden="0" customHeight="1">
      <x:c r="A4" s="68" t="str">
        <x:v>source_id</x:v>
      </x:c>
      <x:c r="B4" s="69" t="str">
        <x:v>分类</x:v>
      </x:c>
      <x:c r="C4" s="69" t="str">
        <x:v>机构/来源</x:v>
      </x:c>
      <x:c r="D4" s="69" t="str">
        <x:v>URL</x:v>
      </x:c>
      <x:c r="E4" s="69" t="str">
        <x:v>主要用途</x:v>
      </x:c>
      <x:c r="F4" s="69" t="str">
        <x:v>适配模块</x:v>
      </x:c>
      <x:c r="G4" s="69" t="str">
        <x:v>建议更新频率</x:v>
      </x:c>
      <x:c r="H4" s="70" t="str">
        <x:v>优先级</x:v>
      </x:c>
    </x:row>
    <x:row r="5" ht="24" hidden="0" customHeight="1">
      <x:c r="A5" s="59" t="str">
        <x:v>SRC-001</x:v>
      </x:c>
      <x:c r="B5" s="60" t="str">
        <x:v>官方及国际监管/规范来源</x:v>
      </x:c>
      <x:c r="C5" s="60" t="str">
        <x:v>国家药品监督管理局（NMPA）</x:v>
      </x:c>
      <x:c r="D5" s="60" t="str">
        <x:v>https://www.nmpa.gov.cn/yaopin/index.html</x:v>
      </x:c>
      <x:c r="E5" s="60" t="str">
        <x:v>中国药品法规、公告、监管动态</x:v>
      </x:c>
      <x:c r="F5" s="60" t="str">
        <x:v>法规依据；偏差分级；CAPA合规边界</x:v>
      </x:c>
      <x:c r="G5" s="60" t="str">
        <x:v>每月/事件触发</x:v>
      </x:c>
      <x:c r="H5" s="61" t="str">
        <x:v>高</x:v>
      </x:c>
    </x:row>
    <x:row r="6" ht="24" hidden="0" customHeight="1">
      <x:c r="A6" s="59" t="str">
        <x:v>SRC-002</x:v>
      </x:c>
      <x:c r="B6" s="60" t="str">
        <x:v>官方及国际监管/规范来源</x:v>
      </x:c>
      <x:c r="C6" s="60" t="str">
        <x:v>国家药品监督管理局食品药品审核查验中心（CFDI）</x:v>
      </x:c>
      <x:c r="D6" s="60" t="str">
        <x:v>https://www.cfdi.org.cn/cfdi/index?module=home</x:v>
      </x:c>
      <x:c r="E6" s="60" t="str">
        <x:v>药品检查、GMP核查、检查动态</x:v>
      </x:c>
      <x:c r="F6" s="60" t="str">
        <x:v>检查缺陷映射；QA审核关注点</x:v>
      </x:c>
      <x:c r="G6" s="60" t="str">
        <x:v>每月/事件触发</x:v>
      </x:c>
      <x:c r="H6" s="61" t="str">
        <x:v>高</x:v>
      </x:c>
    </x:row>
    <x:row r="7" ht="24" hidden="0" customHeight="1">
      <x:c r="A7" s="59" t="str">
        <x:v>SRC-003</x:v>
      </x:c>
      <x:c r="B7" s="60" t="str">
        <x:v>官方及国际监管/规范来源</x:v>
      </x:c>
      <x:c r="C7" s="60" t="str">
        <x:v>国家药品监督管理局药品审评中心（CDE）</x:v>
      </x:c>
      <x:c r="D7" s="60" t="str">
        <x:v>https://www.cde.org.cn/main/news/listpage/545cf855a50574699b46b26bcb165f32</x:v>
      </x:c>
      <x:c r="E7" s="60" t="str">
        <x:v>技术审评、指导原则、审评动态</x:v>
      </x:c>
      <x:c r="F7" s="60" t="str">
        <x:v>注册/工艺变更相关风险评估</x:v>
      </x:c>
      <x:c r="G7" s="60" t="str">
        <x:v>每月/事件触发</x:v>
      </x:c>
      <x:c r="H7" s="61" t="str">
        <x:v>高</x:v>
      </x:c>
    </x:row>
    <x:row r="8" ht="24" hidden="0" customHeight="1">
      <x:c r="A8" s="59" t="str">
        <x:v>SRC-004</x:v>
      </x:c>
      <x:c r="B8" s="60" t="str">
        <x:v>官方及国际监管/规范来源</x:v>
      </x:c>
      <x:c r="C8" s="60" t="str">
        <x:v>中国食品药品检定研究院（NIFDC）</x:v>
      </x:c>
      <x:c r="D8" s="60" t="str">
        <x:v>https://www.nifdc.org.cn/nifdc/zxdt/index.html</x:v>
      </x:c>
      <x:c r="E8" s="60" t="str">
        <x:v>药典、检验、标准物质及质量技术动态</x:v>
      </x:c>
      <x:c r="F8" s="60" t="str">
        <x:v>QC；OOS/OOT；检验方法；标准适配</x:v>
      </x:c>
      <x:c r="G8" s="60" t="str">
        <x:v>每月</x:v>
      </x:c>
      <x:c r="H8" s="61" t="str">
        <x:v>高</x:v>
      </x:c>
    </x:row>
    <x:row r="9" ht="48" hidden="0" customHeight="1">
      <x:c r="A9" s="59" t="str">
        <x:v>SRC-005</x:v>
      </x:c>
      <x:c r="B9" s="60" t="str">
        <x:v>官方及国际监管/规范来源</x:v>
      </x:c>
      <x:c r="C9" s="60" t="str">
        <x:v>欧洲药品管理局（EMA）</x:v>
      </x:c>
      <x:c r="D9" s="60" t="str">
        <x:v>https://www.ema.europa.eu/en/human-regulatory-overview/research-development/compliance-research-development/good-manufacturing-practice/good-manufacturing-practice-gmp-good-distribution-practice-inspectors-working-group</x:v>
      </x:c>
      <x:c r="E9" s="60" t="str">
        <x:v>欧盟GMP/GDP监管协作与检查信息</x:v>
      </x:c>
      <x:c r="F9" s="60" t="str">
        <x:v>国际法规对标；审计准备</x:v>
      </x:c>
      <x:c r="G9" s="60" t="str">
        <x:v>每季度/事件触发</x:v>
      </x:c>
      <x:c r="H9" s="61" t="str">
        <x:v>中高</x:v>
      </x:c>
    </x:row>
    <x:row r="10" ht="36" hidden="0" customHeight="1">
      <x:c r="A10" s="59" t="str">
        <x:v>SRC-006</x:v>
      </x:c>
      <x:c r="B10" s="60" t="str">
        <x:v>官方及国际监管/规范来源</x:v>
      </x:c>
      <x:c r="C10" s="60" t="str">
        <x:v>欧盟委员会（EC）EudraLex Volume 4</x:v>
      </x:c>
      <x:c r="D10" s="60" t="str">
        <x:v>https://health.ec.europa.eu/medicinal-products/eudralex/eudralex-volume-4_en</x:v>
      </x:c>
      <x:c r="E10" s="60" t="str">
        <x:v>欧盟GMP指南正文和附录</x:v>
      </x:c>
      <x:c r="F10" s="60" t="str">
        <x:v>EU GMP对标；无菌；计算机化系统；质量体系</x:v>
      </x:c>
      <x:c r="G10" s="60" t="str">
        <x:v>每季度/事件触发</x:v>
      </x:c>
      <x:c r="H10" s="61" t="str">
        <x:v>高</x:v>
      </x:c>
    </x:row>
    <x:row r="11" ht="24" hidden="0" customHeight="1">
      <x:c r="A11" s="59" t="str">
        <x:v>SRC-007</x:v>
      </x:c>
      <x:c r="B11" s="60" t="str">
        <x:v>官方及国际监管/规范来源</x:v>
      </x:c>
      <x:c r="C11" s="60" t="str">
        <x:v>国际人用药品注册技术协调会（ICH）</x:v>
      </x:c>
      <x:c r="D11" s="60" t="str">
        <x:v>https://www.ich.org/page/press-releases</x:v>
      </x:c>
      <x:c r="E11" s="60" t="str">
        <x:v>ICH指南与更新动态</x:v>
      </x:c>
      <x:c r="F11" s="60" t="str">
        <x:v>Q8/Q9/Q10/Q12；质量风险管理；药品质量体系</x:v>
      </x:c>
      <x:c r="G11" s="60" t="str">
        <x:v>每季度/事件触发</x:v>
      </x:c>
      <x:c r="H11" s="61" t="str">
        <x:v>高</x:v>
      </x:c>
    </x:row>
    <x:row r="12" ht="24" hidden="0" customHeight="1">
      <x:c r="A12" s="59" t="str">
        <x:v>SRC-008</x:v>
      </x:c>
      <x:c r="B12" s="60" t="str">
        <x:v>官方及国际监管/规范来源</x:v>
      </x:c>
      <x:c r="C12" s="60" t="str">
        <x:v>美国食品药品监督管理局（FDA）CGMP法规</x:v>
      </x:c>
      <x:c r="D12" s="60" t="str">
        <x:v>https://www.fda.gov/drugs/pharmaceutical-quality-resources/current-good-manufacturing-practice-cgmp-regulations</x:v>
      </x:c>
      <x:c r="E12" s="60" t="str">
        <x:v>美国CGMP法规与质量资源</x:v>
      </x:c>
      <x:c r="F12" s="60" t="str">
        <x:v>FDA合规对标；数据完整性；质量体系</x:v>
      </x:c>
      <x:c r="G12" s="60" t="str">
        <x:v>每季度/事件触发</x:v>
      </x:c>
      <x:c r="H12" s="61" t="str">
        <x:v>高</x:v>
      </x:c>
    </x:row>
    <x:row r="13" ht="36" hidden="0" customHeight="1">
      <x:c r="A13" s="59" t="str">
        <x:v>SRC-009</x:v>
      </x:c>
      <x:c r="B13" s="60" t="str">
        <x:v>官方及国际监管/规范来源</x:v>
      </x:c>
      <x:c r="C13" s="60" t="str">
        <x:v>FDA Warning Letters</x:v>
      </x:c>
      <x:c r="D13" s="60" t="str">
        <x:v>https://www.fda.gov/inspections-compliance-enforcement-and-criminal-investigations/compliance-actions-and-activities/warning-letters</x:v>
      </x:c>
      <x:c r="E13" s="60" t="str">
        <x:v>警告信、缺陷趋势、监管关注点</x:v>
      </x:c>
      <x:c r="F13" s="60" t="str">
        <x:v>审计模拟；CAPA设计；缺陷案例库</x:v>
      </x:c>
      <x:c r="G13" s="60" t="str">
        <x:v>每月/事件触发</x:v>
      </x:c>
      <x:c r="H13" s="61" t="str">
        <x:v>高</x:v>
      </x:c>
    </x:row>
    <x:row r="14" ht="24" hidden="0" customHeight="1">
      <x:c r="A14" s="59" t="str">
        <x:v>SRC-010</x:v>
      </x:c>
      <x:c r="B14" s="60" t="str">
        <x:v>官方及国际监管/规范来源</x:v>
      </x:c>
      <x:c r="C14" s="60" t="str">
        <x:v>药品检查合作计划（PIC/S）</x:v>
      </x:c>
      <x:c r="D14" s="60" t="str">
        <x:v>https://picscheme.org/en/publications</x:v>
      </x:c>
      <x:c r="E14" s="60" t="str">
        <x:v>PIC/S GMP指南与检查合作文件</x:v>
      </x:c>
      <x:c r="F14" s="60" t="str">
        <x:v>国际检查准备；GMP体系对标</x:v>
      </x:c>
      <x:c r="G14" s="60" t="str">
        <x:v>每季度</x:v>
      </x:c>
      <x:c r="H14" s="61" t="str">
        <x:v>中高</x:v>
      </x:c>
    </x:row>
    <x:row r="15" ht="24" hidden="0" customHeight="1">
      <x:c r="A15" s="59" t="str">
        <x:v>SRC-011</x:v>
      </x:c>
      <x:c r="B15" s="60" t="str">
        <x:v>GMP专业资讯及行业媒体</x:v>
      </x:c>
      <x:c r="C15" s="60" t="str">
        <x:v>英国药品和健康产品管理局（MHRA）</x:v>
      </x:c>
      <x:c r="D15" s="60" t="str">
        <x:v>https://www.gov.uk/guidance/good-manufacturing-practice-and-good-distribution-practice</x:v>
      </x:c>
      <x:c r="E15" s="60" t="str">
        <x:v>英国GMP/GDP指南和监管要求</x:v>
      </x:c>
      <x:c r="F15" s="60" t="str">
        <x:v>国际审计；质量体系对标</x:v>
      </x:c>
      <x:c r="G15" s="60" t="str">
        <x:v>每季度/事件触发</x:v>
      </x:c>
      <x:c r="H15" s="61" t="str">
        <x:v>中高</x:v>
      </x:c>
    </x:row>
    <x:row r="16" ht="24" hidden="0" customHeight="1">
      <x:c r="A16" s="59" t="str">
        <x:v>SRC-012</x:v>
      </x:c>
      <x:c r="B16" s="60" t="str">
        <x:v>GMP专业资讯及行业媒体</x:v>
      </x:c>
      <x:c r="C16" s="60" t="str">
        <x:v>ECA Academy / GMP Compliance</x:v>
      </x:c>
      <x:c r="D16" s="60" t="str">
        <x:v>https://www.gmp-compliance.org/gmp-news/latest-gmp-news</x:v>
      </x:c>
      <x:c r="E16" s="60" t="str">
        <x:v>GMP新闻、指南解读、培训资讯</x:v>
      </x:c>
      <x:c r="F16" s="60" t="str">
        <x:v>监管趋势；培训案例；知识库更新提醒</x:v>
      </x:c>
      <x:c r="G16" s="60" t="str">
        <x:v>每月</x:v>
      </x:c>
      <x:c r="H16" s="61" t="str">
        <x:v>中</x:v>
      </x:c>
    </x:row>
    <x:row r="17" ht="24" hidden="0" customHeight="1">
      <x:c r="A17" s="59" t="str">
        <x:v>SRC-013</x:v>
      </x:c>
      <x:c r="B17" s="60" t="str">
        <x:v>GMP专业资讯及行业媒体</x:v>
      </x:c>
      <x:c r="C17" s="60" t="str">
        <x:v>GMP Journal</x:v>
      </x:c>
      <x:c r="D17" s="60" t="str">
        <x:v>https://www.gmp-journal.com/</x:v>
      </x:c>
      <x:c r="E17" s="60" t="str">
        <x:v>GMP专题文章与行业信息</x:v>
      </x:c>
      <x:c r="F17" s="60" t="str">
        <x:v>培训素材；行业趋势辅助</x:v>
      </x:c>
      <x:c r="G17" s="60" t="str">
        <x:v>每季度</x:v>
      </x:c>
      <x:c r="H17" s="61" t="str">
        <x:v>中</x:v>
      </x:c>
    </x:row>
    <x:row r="18" ht="24" hidden="0" customHeight="1">
      <x:c r="A18" s="59" t="str">
        <x:v>SRC-014</x:v>
      </x:c>
      <x:c r="B18" s="60" t="str">
        <x:v>GMP专业资讯及行业媒体</x:v>
      </x:c>
      <x:c r="C18" s="60" t="str">
        <x:v>Pharmaceutical Technology</x:v>
      </x:c>
      <x:c r="D18" s="60" t="str">
        <x:v>https://www.pharmtech.com/</x:v>
      </x:c>
      <x:c r="E18" s="60" t="str">
        <x:v>制药技术、质量、工艺与监管资讯</x:v>
      </x:c>
      <x:c r="F18" s="60" t="str">
        <x:v>工艺偏差启发；技术趋势</x:v>
      </x:c>
      <x:c r="G18" s="60" t="str">
        <x:v>每季度</x:v>
      </x:c>
      <x:c r="H18" s="61" t="str">
        <x:v>中</x:v>
      </x:c>
    </x:row>
    <x:row r="19" ht="24" hidden="0" customHeight="1">
      <x:c r="A19" s="62" t="str">
        <x:v>SRC-015</x:v>
      </x:c>
      <x:c r="B19" s="63" t="str">
        <x:v>官方数据库</x:v>
      </x:c>
      <x:c r="C19" s="63" t="str">
        <x:v>欧盟EudraGMDP数据库</x:v>
      </x:c>
      <x:c r="D19" s="63" t="str">
        <x:v>https://eudragmdp.ema.europa.eu/inspections/gmpc/searchGMPNonCompliance.do</x:v>
      </x:c>
      <x:c r="E19" s="63" t="str">
        <x:v>GMP不符合项、证书和监管数据库</x:v>
      </x:c>
      <x:c r="F19" s="63" t="str">
        <x:v>供应商/审计风险；外部缺陷案例</x:v>
      </x:c>
      <x:c r="G19" s="63" t="str">
        <x:v>每月/事件触发</x:v>
      </x:c>
      <x:c r="H19" s="64" t="str">
        <x:v>高</x:v>
      </x:c>
    </x:row>
  </x:sheetData>
  <x:mergeCells>
    <x:mergeCell ref="A1:H1"/>
    <x:mergeCell ref="A2:H2"/>
  </x:mergeCells>
  <x:conditionalFormatting sqref="H5:H19">
    <x:cfRule type="containsText" dxfId="1" priority="1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871a2b39f9d243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7.5" hidden="0" customWidth="1"/>
    <x:col min="3" max="3" width="32.5" hidden="0" customWidth="1"/>
    <x:col min="4" max="4" width="32.5" hidden="0" customWidth="1"/>
    <x:col min="5" max="5" width="17.5" hidden="0" customWidth="1"/>
    <x:col min="6" max="6" width="20" hidden="0" customWidth="1"/>
  </x:cols>
  <x:sheetData>
    <x:row r="1" ht="21.600000381469727" hidden="0" customHeight="1">
      <x:c r="A1" s="2" t="str">
        <x:v>Skill能力与边界自查</x:v>
      </x:c>
      <x:c r="B1" s="2" t="str">
        <x:v>Skill能力与边界自查</x:v>
      </x:c>
      <x:c r="C1" s="2" t="str">
        <x:v>Skill能力与边界自查</x:v>
      </x:c>
      <x:c r="D1" s="2" t="str">
        <x:v>Skill能力与边界自查</x:v>
      </x:c>
      <x:c r="E1" s="2" t="str">
        <x:v>Skill能力与边界自查</x:v>
      </x:c>
      <x:c r="F1" s="2" t="str">
        <x:v>Skill能力与边界自查</x:v>
      </x:c>
    </x:row>
    <x:row r="2" ht="15" hidden="0" customHeight="1">
      <x:c r="A2" s="5" t="str">
        <x:v>用于参赛答辩和企业上线前审查：清楚说明能做什么、不能替代什么、如何降低合规风险。</x:v>
      </x:c>
    </x:row>
    <x:row r="3"/>
    <x:row r="4" ht="15" hidden="0" customHeight="1">
      <x:c r="A4" s="68" t="str">
        <x:v>能力域</x:v>
      </x:c>
      <x:c r="B4" s="69" t="str">
        <x:v>可稳定输出</x:v>
      </x:c>
      <x:c r="C4" s="69" t="str">
        <x:v>依赖资料</x:v>
      </x:c>
      <x:c r="D4" s="69" t="str">
        <x:v>边界/不能替代</x:v>
      </x:c>
      <x:c r="E4" s="69" t="str">
        <x:v>风险控制</x:v>
      </x:c>
      <x:c r="F4" s="70" t="str">
        <x:v>验收方式</x:v>
      </x:c>
    </x:row>
    <x:row r="5" ht="24" hidden="0" customHeight="1">
      <x:c r="A5" s="59" t="str">
        <x:v>偏差报告生成</x:v>
      </x:c>
      <x:c r="B5" s="60" t="str">
        <x:v>事实结构化、风险初判、调查计划、根因、影响评估、CAPA、QA关注点</x:v>
      </x:c>
      <x:c r="C5" s="60" t="str">
        <x:v>偏差描述、批记录、检验结果、企业SOP</x:v>
      </x:c>
      <x:c r="D5" s="60" t="str">
        <x:v>不替代QA最终偏差等级和批次处置批准</x:v>
      </x:c>
      <x:c r="E5" s="60" t="str">
        <x:v>保留建议语气和信息缺口</x:v>
      </x:c>
      <x:c r="F5" s="61" t="str">
        <x:v>用报告Schema逐项检查</x:v>
      </x:c>
    </x:row>
    <x:row r="6" ht="24" hidden="0" customHeight="1">
      <x:c r="A6" s="59" t="str">
        <x:v>企业资料投喂</x:v>
      </x:c>
      <x:c r="B6" s="60" t="str">
        <x:v>资料接收清单、企业知识包、术语表、责任矩阵</x:v>
      </x:c>
      <x:c r="C6" s="60" t="str">
        <x:v>SOP、模板、组织职责、历史台账</x:v>
      </x:c>
      <x:c r="D6" s="60" t="str">
        <x:v>不能把通用建议伪装成企业规定</x:v>
      </x:c>
      <x:c r="E6" s="60" t="str">
        <x:v>区分enterprise_rule和ai_inference</x:v>
      </x:c>
      <x:c r="F6" s="61" t="str">
        <x:v>企业知识包Schema检查</x:v>
      </x:c>
    </x:row>
    <x:row r="7" ht="24" hidden="0" customHeight="1">
      <x:c r="A7" s="59" t="str">
        <x:v>长期学习</x:v>
      </x:c>
      <x:c r="B7" s="60" t="str">
        <x:v>学习台账片段、相似事件、CAPA复查、趋势预警</x:v>
      </x:c>
      <x:c r="C7" s="60" t="str">
        <x:v>历史偏差、CAPA、审计缺陷、月度质量数据</x:v>
      </x:c>
      <x:c r="D7" s="60" t="str">
        <x:v>当前无企业数据库时不承诺自动永久记忆</x:v>
      </x:c>
      <x:c r="E7" s="60" t="str">
        <x:v>输出可保存的台账更新片段</x:v>
      </x:c>
      <x:c r="F7" s="61" t="str">
        <x:v>提醒Schema和台账字段检查</x:v>
      </x:c>
    </x:row>
    <x:row r="8" ht="24" hidden="0" customHeight="1">
      <x:c r="A8" s="59" t="str">
        <x:v>法规/资讯引用</x:v>
      </x:c>
      <x:c r="B8" s="60" t="str">
        <x:v>来源索引、适用区域、更新频率、复核责任</x:v>
      </x:c>
      <x:c r="C8" s="60" t="str">
        <x:v>官方法规源、警告信、行业媒体</x:v>
      </x:c>
      <x:c r="D8" s="60" t="str">
        <x:v>最新法规需要联网或人工复核</x:v>
      </x:c>
      <x:c r="E8" s="60" t="str">
        <x:v>官方优先，行业媒体仅辅助</x:v>
      </x:c>
      <x:c r="F8" s="61" t="str">
        <x:v>来源治理清单检查</x:v>
      </x:c>
    </x:row>
    <x:row r="9" ht="24" hidden="0" customHeight="1">
      <x:c r="A9" s="62" t="str">
        <x:v>HTML/UI展示</x:v>
      </x:c>
      <x:c r="B9" s="63" t="str">
        <x:v>交互式报告、筛选、折叠、打印、复制摘要</x:v>
      </x:c>
      <x:c r="C9" s="63" t="str">
        <x:v>结构化报告JSON</x:v>
      </x:c>
      <x:c r="D9" s="63" t="str">
        <x:v>展示层不改变合规结论</x:v>
      </x:c>
      <x:c r="E9" s="63" t="str">
        <x:v>同一JSON渲染多格式</x:v>
      </x:c>
      <x:c r="F9" s="64" t="str">
        <x:v>打开页面检查交互和打印样式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ad0c901b6304b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22.5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3.75" hidden="0" customWidth="1"/>
    <x:col min="9" max="9" width="20" hidden="0" customWidth="1"/>
    <x:col min="10" max="10" width="20" hidden="0" customWidth="1"/>
    <x:col min="11" max="11" width="22.5" hidden="0" customWidth="1"/>
  </x:cols>
  <x:sheetData>
    <x:row r="1" ht="21.600000381469727" hidden="0" customHeight="1">
      <x:c r="A1" s="2" t="str">
        <x:v>企业资料投喂模板</x:v>
      </x:c>
      <x:c r="B1" s="2" t="str">
        <x:v>企业资料投喂模板</x:v>
      </x:c>
      <x:c r="C1" s="2" t="str">
        <x:v>企业资料投喂模板</x:v>
      </x:c>
      <x:c r="D1" s="2" t="str">
        <x:v>企业资料投喂模板</x:v>
      </x:c>
      <x:c r="E1" s="2" t="str">
        <x:v>企业资料投喂模板</x:v>
      </x:c>
      <x:c r="F1" s="2" t="str">
        <x:v>企业资料投喂模板</x:v>
      </x:c>
      <x:c r="G1" s="2" t="str">
        <x:v>企业资料投喂模板</x:v>
      </x:c>
      <x:c r="H1" s="2" t="str">
        <x:v>企业资料投喂模板</x:v>
      </x:c>
      <x:c r="I1" s="2" t="str">
        <x:v>企业资料投喂模板</x:v>
      </x:c>
      <x:c r="J1" s="2" t="str">
        <x:v>企业资料投喂模板</x:v>
      </x:c>
      <x:c r="K1" s="2" t="str">
        <x:v>企业资料投喂模板</x:v>
      </x:c>
    </x:row>
    <x:row r="2" ht="15" hidden="0" customHeight="1">
      <x:c r="A2" s="5" t="str">
        <x:v>每家企业可按此表投递资料，使Skill形成个性化GMP口径、报告偏好和长期学习台账。</x:v>
      </x:c>
    </x:row>
    <x:row r="3"/>
    <x:row r="4" ht="15" hidden="0" customHeight="1">
      <x:c r="A4" s="68" t="str">
        <x:v>资料编号</x:v>
      </x:c>
      <x:c r="B4" s="69" t="str">
        <x:v>资料类别</x:v>
      </x:c>
      <x:c r="C4" s="69" t="str">
        <x:v>资料名称</x:v>
      </x:c>
      <x:c r="D4" s="69" t="str">
        <x:v>版本/日期</x:v>
      </x:c>
      <x:c r="E4" s="69" t="str">
        <x:v>责任部门</x:v>
      </x:c>
      <x:c r="F4" s="69" t="str">
        <x:v>保密等级</x:v>
      </x:c>
      <x:c r="G4" s="69" t="str">
        <x:v>适用产品/厂区</x:v>
      </x:c>
      <x:c r="H4" s="69" t="str">
        <x:v>可提取规则</x:v>
      </x:c>
      <x:c r="I4" s="69" t="str">
        <x:v>复核人</x:v>
      </x:c>
      <x:c r="J4" s="69" t="str">
        <x:v>更新频率</x:v>
      </x:c>
      <x:c r="K4" s="70" t="str">
        <x:v>备注</x:v>
      </x:c>
    </x:row>
    <x:row r="5" ht="15" hidden="0" customHeight="1">
      <x:c r="A5" s="59" t="str">
        <x:v>ENT-001</x:v>
      </x:c>
      <x:c r="B5" s="60" t="str">
        <x:v>偏差管理程序</x:v>
      </x:c>
      <x:c r="C5" s="60" t="str">
        <x:v>待填写</x:v>
      </x:c>
      <x:c r="D5" s="60" t="str">
        <x:v>待填写</x:v>
      </x:c>
      <x:c r="E5" s="60" t="str">
        <x:v>QA</x:v>
      </x:c>
      <x:c r="F5" s="60" t="str">
        <x:v>内部/机密</x:v>
      </x:c>
      <x:c r="G5" s="60" t="str">
        <x:v>待填写</x:v>
      </x:c>
      <x:c r="H5" s="60" t="str">
        <x:v>偏差分级、升级、时限</x:v>
      </x:c>
      <x:c r="I5" s="60" t="str">
        <x:v>待填写</x:v>
      </x:c>
      <x:c r="J5" s="60" t="str">
        <x:v>随文件变更</x:v>
      </x:c>
      <x:c r="K5" s="61" t="str"/>
    </x:row>
    <x:row r="6" ht="15" hidden="0" customHeight="1">
      <x:c r="A6" s="59" t="str">
        <x:v>ENT-002</x:v>
      </x:c>
      <x:c r="B6" s="60" t="str">
        <x:v>CAPA程序</x:v>
      </x:c>
      <x:c r="C6" s="60" t="str">
        <x:v>待填写</x:v>
      </x:c>
      <x:c r="D6" s="60" t="str">
        <x:v>待填写</x:v>
      </x:c>
      <x:c r="E6" s="60" t="str">
        <x:v>QA</x:v>
      </x:c>
      <x:c r="F6" s="60" t="str">
        <x:v>内部/机密</x:v>
      </x:c>
      <x:c r="G6" s="60" t="str">
        <x:v>待填写</x:v>
      </x:c>
      <x:c r="H6" s="60" t="str">
        <x:v>CAPA时限、关闭、有效性确认</x:v>
      </x:c>
      <x:c r="I6" s="60" t="str">
        <x:v>待填写</x:v>
      </x:c>
      <x:c r="J6" s="60" t="str">
        <x:v>随文件变更</x:v>
      </x:c>
      <x:c r="K6" s="61" t="str"/>
    </x:row>
    <x:row r="7" ht="15" hidden="0" customHeight="1">
      <x:c r="A7" s="59" t="str">
        <x:v>ENT-003</x:v>
      </x:c>
      <x:c r="B7" s="60" t="str">
        <x:v>OOS/OOT程序</x:v>
      </x:c>
      <x:c r="C7" s="60" t="str">
        <x:v>待填写</x:v>
      </x:c>
      <x:c r="D7" s="60" t="str">
        <x:v>待填写</x:v>
      </x:c>
      <x:c r="E7" s="60" t="str">
        <x:v>QC/QA</x:v>
      </x:c>
      <x:c r="F7" s="60" t="str">
        <x:v>内部/机密</x:v>
      </x:c>
      <x:c r="G7" s="60" t="str">
        <x:v>待填写</x:v>
      </x:c>
      <x:c r="H7" s="60" t="str">
        <x:v>实验室调查、复验、批次处置</x:v>
      </x:c>
      <x:c r="I7" s="60" t="str">
        <x:v>待填写</x:v>
      </x:c>
      <x:c r="J7" s="60" t="str">
        <x:v>随文件变更</x:v>
      </x:c>
      <x:c r="K7" s="61" t="str"/>
    </x:row>
    <x:row r="8" ht="15" hidden="0" customHeight="1">
      <x:c r="A8" s="59" t="str">
        <x:v>ENT-004</x:v>
      </x:c>
      <x:c r="B8" s="60" t="str">
        <x:v>批生产记录模板</x:v>
      </x:c>
      <x:c r="C8" s="60" t="str">
        <x:v>待填写</x:v>
      </x:c>
      <x:c r="D8" s="60" t="str">
        <x:v>待填写</x:v>
      </x:c>
      <x:c r="E8" s="60" t="str">
        <x:v>生产/QA</x:v>
      </x:c>
      <x:c r="F8" s="60" t="str">
        <x:v>内部/机密</x:v>
      </x:c>
      <x:c r="G8" s="60" t="str">
        <x:v>待填写</x:v>
      </x:c>
      <x:c r="H8" s="60" t="str">
        <x:v>CPP、记录点、复核点</x:v>
      </x:c>
      <x:c r="I8" s="60" t="str">
        <x:v>待填写</x:v>
      </x:c>
      <x:c r="J8" s="60" t="str">
        <x:v>随模板变更</x:v>
      </x:c>
      <x:c r="K8" s="61" t="str"/>
    </x:row>
    <x:row r="9" ht="24" hidden="0" customHeight="1">
      <x:c r="A9" s="62" t="str">
        <x:v>ENT-005</x:v>
      </x:c>
      <x:c r="B9" s="63" t="str">
        <x:v>历史偏差/CAPA台账</x:v>
      </x:c>
      <x:c r="C9" s="63" t="str">
        <x:v>待填写</x:v>
      </x:c>
      <x:c r="D9" s="63" t="str">
        <x:v>待填写</x:v>
      </x:c>
      <x:c r="E9" s="63" t="str">
        <x:v>QA</x:v>
      </x:c>
      <x:c r="F9" s="63" t="str">
        <x:v>内部/机密</x:v>
      </x:c>
      <x:c r="G9" s="63" t="str">
        <x:v>待填写</x:v>
      </x:c>
      <x:c r="H9" s="63" t="str">
        <x:v>重复偏差、CAPA状态、复查日期</x:v>
      </x:c>
      <x:c r="I9" s="63" t="str">
        <x:v>待填写</x:v>
      </x:c>
      <x:c r="J9" s="63" t="str">
        <x:v>每月</x:v>
      </x:c>
      <x:c r="K9" s="64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5954b8792bc44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.5" hidden="0" customWidth="1"/>
    <x:col min="3" max="3" width="25" hidden="0" customWidth="1"/>
    <x:col min="4" max="4" width="25" hidden="0" customWidth="1"/>
    <x:col min="5" max="5" width="20" hidden="0" customWidth="1"/>
    <x:col min="6" max="6" width="20" hidden="0" customWidth="1"/>
  </x:cols>
  <x:sheetData>
    <x:row r="1" ht="21.600000381469727" hidden="0" customHeight="1">
      <x:c r="A1" s="2" t="str">
        <x:v>评估与迭代指标</x:v>
      </x:c>
      <x:c r="B1" s="2" t="str">
        <x:v>评估与迭代指标</x:v>
      </x:c>
      <x:c r="C1" s="2" t="str">
        <x:v>评估与迭代指标</x:v>
      </x:c>
      <x:c r="D1" s="2" t="str">
        <x:v>评估与迭代指标</x:v>
      </x:c>
      <x:c r="E1" s="2" t="str">
        <x:v>评估与迭代指标</x:v>
      </x:c>
      <x:c r="F1" s="2" t="str">
        <x:v>评估与迭代指标</x:v>
      </x:c>
    </x:row>
    <x:row r="2" ht="15" hidden="0" customHeight="1">
      <x:c r="A2" s="5" t="str">
        <x:v>用于证明Skill不是一次性演示，而是可持续提升的企业级质量工具。</x:v>
      </x:c>
    </x:row>
    <x:row r="3"/>
    <x:row r="4" ht="15" hidden="0" customHeight="1">
      <x:c r="A4" s="68" t="str">
        <x:v>指标</x:v>
      </x:c>
      <x:c r="B4" s="69" t="str">
        <x:v>定义</x:v>
      </x:c>
      <x:c r="C4" s="69" t="str">
        <x:v>目标/合格标准</x:v>
      </x:c>
      <x:c r="D4" s="69" t="str">
        <x:v>数据来源</x:v>
      </x:c>
      <x:c r="E4" s="69" t="str">
        <x:v>复核频率</x:v>
      </x:c>
      <x:c r="F4" s="70" t="str">
        <x:v>责任人</x:v>
      </x:c>
    </x:row>
    <x:row r="5" ht="15" hidden="0" customHeight="1">
      <x:c r="A5" s="59" t="str">
        <x:v>字段完整性</x:v>
      </x:c>
      <x:c r="B5" s="60" t="str">
        <x:v>报告必填字段是否齐全</x:v>
      </x:c>
      <x:c r="C5" s="60" t="str">
        <x:v>核心章节100%覆盖</x:v>
      </x:c>
      <x:c r="D5" s="60" t="str">
        <x:v>deviation-report.schema.json</x:v>
      </x:c>
      <x:c r="E5" s="60" t="str">
        <x:v>每次输出</x:v>
      </x:c>
      <x:c r="F5" s="61" t="str">
        <x:v>QA/项目组</x:v>
      </x:c>
    </x:row>
    <x:row r="6" ht="24" hidden="0" customHeight="1">
      <x:c r="A6" s="59" t="str">
        <x:v>证据可追溯</x:v>
      </x:c>
      <x:c r="B6" s="60" t="str">
        <x:v>关键判断是否标注来源类型</x:v>
      </x:c>
      <x:c r="C6" s="60" t="str">
        <x:v>事实/企业规则/外部参考/推断分开</x:v>
      </x:c>
      <x:c r="D6" s="60" t="str">
        <x:v>报告JSON</x:v>
      </x:c>
      <x:c r="E6" s="60" t="str">
        <x:v>每次输出</x:v>
      </x:c>
      <x:c r="F6" s="61" t="str">
        <x:v>QA</x:v>
      </x:c>
    </x:row>
    <x:row r="7" ht="15" hidden="0" customHeight="1">
      <x:c r="A7" s="59" t="str">
        <x:v>CAPA可执行性</x:v>
      </x:c>
      <x:c r="B7" s="60" t="str">
        <x:v>措施是否含责任、时限、证据和有效性确认</x:v>
      </x:c>
      <x:c r="C7" s="60" t="str">
        <x:v>CAPA字段100%完整</x:v>
      </x:c>
      <x:c r="D7" s="60" t="str">
        <x:v>CAPA计划表</x:v>
      </x:c>
      <x:c r="E7" s="60" t="str">
        <x:v>每次输出</x:v>
      </x:c>
      <x:c r="F7" s="61" t="str">
        <x:v>QA/责任部门</x:v>
      </x:c>
    </x:row>
    <x:row r="8" ht="15" hidden="0" customHeight="1">
      <x:c r="A8" s="59" t="str">
        <x:v>企业适配度</x:v>
      </x:c>
      <x:c r="B8" s="60" t="str">
        <x:v>是否使用企业风险等级、术语和审批角色</x:v>
      </x:c>
      <x:c r="C8" s="60" t="str">
        <x:v>符合已投喂企业知识包</x:v>
      </x:c>
      <x:c r="D8" s="60" t="str">
        <x:v>企业知识包</x:v>
      </x:c>
      <x:c r="E8" s="60" t="str">
        <x:v>每月</x:v>
      </x:c>
      <x:c r="F8" s="61" t="str">
        <x:v>QA</x:v>
      </x:c>
    </x:row>
    <x:row r="9" ht="15" hidden="0" customHeight="1">
      <x:c r="A9" s="59" t="str">
        <x:v>复查提醒有效性</x:v>
      </x:c>
      <x:c r="B9" s="60" t="str">
        <x:v>是否准确提示到期和重复风险</x:v>
      </x:c>
      <x:c r="C9" s="60" t="str">
        <x:v>无明显漏报/误报</x:v>
      </x:c>
      <x:c r="D9" s="60" t="str">
        <x:v>学习台账</x:v>
      </x:c>
      <x:c r="E9" s="60" t="str">
        <x:v>每月</x:v>
      </x:c>
      <x:c r="F9" s="61" t="str">
        <x:v>QA/质量体系</x:v>
      </x:c>
    </x:row>
    <x:row r="10" ht="15" hidden="0" customHeight="1">
      <x:c r="A10" s="62" t="str">
        <x:v>幻觉控制</x:v>
      </x:c>
      <x:c r="B10" s="63" t="str">
        <x:v>是否编造SOP编号、检验结果或历史趋势</x:v>
      </x:c>
      <x:c r="C10" s="63" t="str">
        <x:v>不得编造，未知列入缺口</x:v>
      </x:c>
      <x:c r="D10" s="63" t="str">
        <x:v>人工抽查</x:v>
      </x:c>
      <x:c r="E10" s="63" t="str">
        <x:v>每次输出</x:v>
      </x:c>
      <x:c r="F10" s="64" t="str">
        <x:v>QA/项目组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4b4cc871a2843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.5" hidden="0" customWidth="1"/>
    <x:col min="3" max="3" width="35" hidden="0" customWidth="1"/>
    <x:col min="4" max="4" width="31.25" hidden="0" customWidth="1"/>
    <x:col min="5" max="5" width="26.25" hidden="0" customWidth="1"/>
    <x:col min="6" max="6" width="22.5" hidden="0" customWidth="1"/>
    <x:col min="7" max="7" width="22.5" hidden="0" customWidth="1"/>
  </x:cols>
  <x:sheetData>
    <x:row r="1" ht="21.600000381469727" hidden="0" customHeight="1">
      <x:c r="A1" s="2" t="str">
        <x:v>JSON输出契约</x:v>
      </x:c>
      <x:c r="B1" s="2" t="str">
        <x:v>JSON输出契约</x:v>
      </x:c>
      <x:c r="C1" s="2" t="str">
        <x:v>JSON输出契约</x:v>
      </x:c>
      <x:c r="D1" s="2" t="str">
        <x:v>JSON输出契约</x:v>
      </x:c>
      <x:c r="E1" s="2" t="str">
        <x:v>JSON输出契约</x:v>
      </x:c>
      <x:c r="F1" s="2" t="str">
        <x:v>JSON输出契约</x:v>
      </x:c>
      <x:c r="G1" s="2" t="str">
        <x:v>JSON输出契约</x:v>
      </x:c>
    </x:row>
    <x:row r="2" ht="15" hidden="0" customHeight="1">
      <x:c r="A2" s="5" t="str">
        <x:v>稳定输出的核心：先形成结构化对象，再渲染为Markdown、HTML或管理层摘要。</x:v>
      </x:c>
    </x:row>
    <x:row r="3"/>
    <x:row r="4" ht="15" hidden="0" customHeight="1">
      <x:c r="A4" s="68" t="str">
        <x:v>输出场景</x:v>
      </x:c>
      <x:c r="B4" s="69" t="str">
        <x:v>Schema文件</x:v>
      </x:c>
      <x:c r="C4" s="69" t="str">
        <x:v>必含结构</x:v>
      </x:c>
      <x:c r="D4" s="69" t="str">
        <x:v>来源约束</x:v>
      </x:c>
      <x:c r="E4" s="69" t="str">
        <x:v>未知信息处理</x:v>
      </x:c>
      <x:c r="F4" s="69" t="str">
        <x:v>展示层</x:v>
      </x:c>
      <x:c r="G4" s="70" t="str">
        <x:v>人工复核点</x:v>
      </x:c>
    </x:row>
    <x:row r="5" ht="24" hidden="0" customHeight="1">
      <x:c r="A5" s="59" t="str">
        <x:v>偏差调查报告</x:v>
      </x:c>
      <x:c r="B5" s="60" t="str">
        <x:v>deviation-report.schema.json</x:v>
      </x:c>
      <x:c r="C5" s="60" t="str">
        <x:v>metadata、facts、risk、investigation、root_cause、impact、CAPA、gaps、QA</x:v>
      </x:c>
      <x:c r="D5" s="60" t="str">
        <x:v>basis_type区分事实/规则/参考/推断</x:v>
      </x:c>
      <x:c r="E5" s="60" t="str">
        <x:v>填null/待定或information_gaps</x:v>
      </x:c>
      <x:c r="F5" s="60" t="str">
        <x:v>Markdown/HTML/表格</x:v>
      </x:c>
      <x:c r="G5" s="61" t="str">
        <x:v>偏差等级、批次处置、CAPA批准</x:v>
      </x:c>
    </x:row>
    <x:row r="6" ht="24" hidden="0" customHeight="1">
      <x:c r="A6" s="59" t="str">
        <x:v>企业知识包</x:v>
      </x:c>
      <x:c r="B6" s="60" t="str">
        <x:v>enterprise-knowledge-pack.schema.json</x:v>
      </x:c>
      <x:c r="C6" s="60" t="str">
        <x:v>profile、materials、rules、preferences、matrix、gaps</x:v>
      </x:c>
      <x:c r="D6" s="60" t="str">
        <x:v>企业文件需注明来源/版本</x:v>
      </x:c>
      <x:c r="E6" s="60" t="str">
        <x:v>列入material_gaps或review_required</x:v>
      </x:c>
      <x:c r="F6" s="60" t="str">
        <x:v>知识包/资料投递入口</x:v>
      </x:c>
      <x:c r="G6" s="61" t="str">
        <x:v>企业SOP口径和审批角色</x:v>
      </x:c>
    </x:row>
    <x:row r="7" ht="24" hidden="0" customHeight="1">
      <x:c r="A7" s="62" t="str">
        <x:v>长期学习提醒</x:v>
      </x:c>
      <x:c r="B7" s="63" t="str">
        <x:v>learning-alerts.schema.json</x:v>
      </x:c>
      <x:c r="C7" s="63" t="str">
        <x:v>learning_update、similar_events、review_reminders、predictive_alerts</x:v>
      </x:c>
      <x:c r="D7" s="63" t="str">
        <x:v>历史数据与AI趋势提示分开</x:v>
      </x:c>
      <x:c r="E7" s="63" t="str">
        <x:v>置信度标为待确认</x:v>
      </x:c>
      <x:c r="F7" s="63" t="str">
        <x:v>预测看板/复查清单</x:v>
      </x:c>
      <x:c r="G7" s="64" t="str">
        <x:v>CAPA到期、有效性确认、趋势结论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e78c1a0c245478b"/>
  </x:tableParts>
</x:worksheet>
</file>